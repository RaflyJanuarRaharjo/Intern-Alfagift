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e5dd43f293d967/Documents/Magang OpDev/REPORT INVENTORY, OOS, MAT, PERFORMANCE/[MTD 7 Sep 2026] Report Inventory, OOS, MAT, Store Performance/"/>
    </mc:Choice>
  </mc:AlternateContent>
  <xr:revisionPtr revIDLastSave="38" documentId="13_ncr:1_{FEF90655-89D7-4153-80A9-7D21D664CD06}" xr6:coauthVersionLast="47" xr6:coauthVersionMax="47" xr10:uidLastSave="{D5812592-931F-494F-884F-326D9F5D4AA2}"/>
  <bookViews>
    <workbookView xWindow="-110" yWindow="-110" windowWidth="19420" windowHeight="10300" xr2:uid="{36099F52-4D28-4DE0-9C19-A9B7BF38A200}"/>
  </bookViews>
  <sheets>
    <sheet name="Report" sheetId="1" r:id="rId1"/>
    <sheet name="Store Performance" sheetId="7" r:id="rId2"/>
    <sheet name="OOS" sheetId="6" r:id="rId3"/>
    <sheet name="Inventory" sheetId="5" r:id="rId4"/>
    <sheet name="MAT Exc Beanspot" sheetId="3" r:id="rId5"/>
    <sheet name="MAT All" sheetId="4" r:id="rId6"/>
    <sheet name="List D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2" i="1" l="1"/>
  <c r="P6" i="1"/>
  <c r="R6" i="1"/>
  <c r="Q6" i="1"/>
  <c r="Q8" i="1"/>
  <c r="P66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E70" i="1"/>
  <c r="E36" i="1"/>
  <c r="E61" i="1"/>
  <c r="E54" i="1"/>
  <c r="E25" i="1"/>
  <c r="E11" i="1"/>
  <c r="E14" i="1"/>
  <c r="E67" i="1"/>
  <c r="E58" i="1"/>
  <c r="P15" i="1"/>
  <c r="O15" i="1"/>
  <c r="L15" i="1"/>
  <c r="E15" i="1"/>
  <c r="E19" i="1"/>
  <c r="E56" i="1"/>
  <c r="E51" i="1"/>
  <c r="E31" i="1"/>
  <c r="E21" i="1"/>
  <c r="E8" i="1"/>
  <c r="E10" i="1"/>
  <c r="E34" i="1"/>
  <c r="E39" i="1"/>
  <c r="E55" i="1"/>
  <c r="E69" i="1"/>
  <c r="E66" i="1"/>
  <c r="E68" i="1"/>
  <c r="E22" i="1"/>
  <c r="E72" i="1"/>
  <c r="E33" i="1"/>
  <c r="E32" i="1"/>
  <c r="E29" i="1"/>
  <c r="E48" i="1"/>
  <c r="E63" i="1"/>
  <c r="E35" i="1"/>
  <c r="E49" i="1"/>
  <c r="E37" i="1"/>
  <c r="E30" i="1"/>
  <c r="E26" i="1"/>
  <c r="E28" i="1"/>
  <c r="E13" i="1"/>
  <c r="E24" i="1"/>
  <c r="E43" i="1"/>
  <c r="E27" i="1"/>
  <c r="E59" i="1"/>
  <c r="E17" i="1"/>
  <c r="E12" i="1"/>
  <c r="E9" i="1"/>
  <c r="E53" i="1"/>
  <c r="E71" i="1"/>
  <c r="E42" i="1"/>
  <c r="E50" i="1"/>
  <c r="E20" i="1"/>
  <c r="E64" i="1"/>
  <c r="E18" i="1"/>
  <c r="E7" i="1"/>
  <c r="E6" i="1"/>
  <c r="E65" i="1"/>
  <c r="E40" i="1"/>
  <c r="E47" i="1"/>
  <c r="E46" i="1"/>
  <c r="E57" i="1"/>
  <c r="E45" i="1"/>
  <c r="E60" i="1"/>
  <c r="E44" i="1"/>
  <c r="E62" i="1"/>
  <c r="E41" i="1"/>
  <c r="E23" i="1"/>
  <c r="E16" i="1"/>
  <c r="E38" i="1"/>
  <c r="E52" i="1"/>
  <c r="F58" i="1"/>
  <c r="N58" i="1"/>
  <c r="R15" i="1"/>
  <c r="R56" i="1"/>
  <c r="R21" i="1"/>
  <c r="R31" i="1"/>
  <c r="R19" i="1"/>
  <c r="R34" i="1"/>
  <c r="R10" i="1"/>
  <c r="R51" i="1"/>
  <c r="R69" i="1"/>
  <c r="R39" i="1"/>
  <c r="R8" i="1"/>
  <c r="R22" i="1"/>
  <c r="R68" i="1"/>
  <c r="R72" i="1"/>
  <c r="R48" i="1"/>
  <c r="R66" i="1"/>
  <c r="R67" i="1"/>
  <c r="R55" i="1"/>
  <c r="R33" i="1"/>
  <c r="R32" i="1"/>
  <c r="R29" i="1"/>
  <c r="R63" i="1"/>
  <c r="R35" i="1"/>
  <c r="R37" i="1"/>
  <c r="R30" i="1"/>
  <c r="R49" i="1"/>
  <c r="R26" i="1"/>
  <c r="R43" i="1"/>
  <c r="R53" i="1"/>
  <c r="R9" i="1"/>
  <c r="R28" i="1"/>
  <c r="R27" i="1"/>
  <c r="R59" i="1"/>
  <c r="R71" i="1"/>
  <c r="R24" i="1"/>
  <c r="R13" i="1"/>
  <c r="R12" i="1"/>
  <c r="R17" i="1"/>
  <c r="R42" i="1"/>
  <c r="R7" i="1"/>
  <c r="R50" i="1"/>
  <c r="R57" i="1"/>
  <c r="R47" i="1"/>
  <c r="R64" i="1"/>
  <c r="R65" i="1"/>
  <c r="R18" i="1"/>
  <c r="R20" i="1"/>
  <c r="R40" i="1"/>
  <c r="R46" i="1"/>
  <c r="R45" i="1"/>
  <c r="R41" i="1"/>
  <c r="R38" i="1"/>
  <c r="R62" i="1"/>
  <c r="R44" i="1"/>
  <c r="R60" i="1"/>
  <c r="R23" i="1"/>
  <c r="R52" i="1"/>
  <c r="R16" i="1"/>
  <c r="R58" i="1"/>
  <c r="Q56" i="1"/>
  <c r="Q33" i="1"/>
  <c r="Q50" i="1"/>
  <c r="Q45" i="1"/>
  <c r="Q60" i="1"/>
  <c r="Q41" i="1"/>
  <c r="Q22" i="1"/>
  <c r="Q21" i="1"/>
  <c r="Q67" i="1"/>
  <c r="P56" i="1"/>
  <c r="P33" i="1"/>
  <c r="P50" i="1"/>
  <c r="P45" i="1"/>
  <c r="P60" i="1"/>
  <c r="P41" i="1"/>
  <c r="P22" i="1"/>
  <c r="P21" i="1"/>
  <c r="P67" i="1"/>
  <c r="O56" i="1"/>
  <c r="O33" i="1"/>
  <c r="O50" i="1"/>
  <c r="O45" i="1"/>
  <c r="O60" i="1"/>
  <c r="O41" i="1"/>
  <c r="O22" i="1"/>
  <c r="O21" i="1"/>
  <c r="O67" i="1"/>
  <c r="N56" i="1"/>
  <c r="N33" i="1"/>
  <c r="N50" i="1"/>
  <c r="N45" i="1"/>
  <c r="N60" i="1"/>
  <c r="N41" i="1"/>
  <c r="N22" i="1"/>
  <c r="N21" i="1"/>
  <c r="N67" i="1"/>
  <c r="M56" i="1"/>
  <c r="M33" i="1"/>
  <c r="M50" i="1"/>
  <c r="M45" i="1"/>
  <c r="M60" i="1"/>
  <c r="M41" i="1"/>
  <c r="M22" i="1"/>
  <c r="M21" i="1"/>
  <c r="M67" i="1"/>
  <c r="L68" i="1"/>
  <c r="L29" i="1"/>
  <c r="L65" i="1"/>
  <c r="L47" i="1"/>
  <c r="L72" i="1"/>
  <c r="L69" i="1"/>
  <c r="L31" i="1"/>
  <c r="L71" i="1"/>
  <c r="L48" i="1"/>
  <c r="L62" i="1"/>
  <c r="L23" i="1"/>
  <c r="L52" i="1"/>
  <c r="L8" i="1"/>
  <c r="L24" i="1"/>
  <c r="L59" i="1"/>
  <c r="L18" i="1"/>
  <c r="L16" i="1"/>
  <c r="L9" i="1"/>
  <c r="L20" i="1"/>
  <c r="L13" i="1"/>
  <c r="L28" i="1"/>
  <c r="L30" i="1"/>
  <c r="L12" i="1"/>
  <c r="L32" i="1"/>
  <c r="L49" i="1"/>
  <c r="L64" i="1"/>
  <c r="L17" i="1"/>
  <c r="L6" i="1"/>
  <c r="L10" i="1"/>
  <c r="L55" i="1"/>
  <c r="L51" i="1"/>
  <c r="L7" i="1"/>
  <c r="L42" i="1"/>
  <c r="L39" i="1"/>
  <c r="L38" i="1"/>
  <c r="L66" i="1"/>
  <c r="L19" i="1"/>
  <c r="L58" i="1"/>
  <c r="L44" i="1"/>
  <c r="L63" i="1"/>
  <c r="L43" i="1"/>
  <c r="L27" i="1"/>
  <c r="L53" i="1"/>
  <c r="L26" i="1"/>
  <c r="L40" i="1"/>
  <c r="L37" i="1"/>
  <c r="L57" i="1"/>
  <c r="L35" i="1"/>
  <c r="L34" i="1"/>
  <c r="L56" i="1"/>
  <c r="L33" i="1"/>
  <c r="L50" i="1"/>
  <c r="L45" i="1"/>
  <c r="L60" i="1"/>
  <c r="L41" i="1"/>
  <c r="L22" i="1"/>
  <c r="L21" i="1"/>
  <c r="L67" i="1"/>
  <c r="J56" i="1"/>
  <c r="J33" i="1"/>
  <c r="J50" i="1"/>
  <c r="J45" i="1"/>
  <c r="J60" i="1"/>
  <c r="J41" i="1"/>
  <c r="J22" i="1"/>
  <c r="J21" i="1"/>
  <c r="J67" i="1"/>
  <c r="K68" i="1"/>
  <c r="K29" i="1"/>
  <c r="K65" i="1"/>
  <c r="K47" i="1"/>
  <c r="K69" i="1"/>
  <c r="K15" i="1"/>
  <c r="K31" i="1"/>
  <c r="K71" i="1"/>
  <c r="K48" i="1"/>
  <c r="K62" i="1"/>
  <c r="K23" i="1"/>
  <c r="K52" i="1"/>
  <c r="K8" i="1"/>
  <c r="K24" i="1"/>
  <c r="K59" i="1"/>
  <c r="K18" i="1"/>
  <c r="K16" i="1"/>
  <c r="K9" i="1"/>
  <c r="K20" i="1"/>
  <c r="K13" i="1"/>
  <c r="K28" i="1"/>
  <c r="K30" i="1"/>
  <c r="K12" i="1"/>
  <c r="K32" i="1"/>
  <c r="K49" i="1"/>
  <c r="K64" i="1"/>
  <c r="K17" i="1"/>
  <c r="K6" i="1"/>
  <c r="K10" i="1"/>
  <c r="K55" i="1"/>
  <c r="K51" i="1"/>
  <c r="K7" i="1"/>
  <c r="K42" i="1"/>
  <c r="K39" i="1"/>
  <c r="K38" i="1"/>
  <c r="K66" i="1"/>
  <c r="K19" i="1"/>
  <c r="K58" i="1"/>
  <c r="K44" i="1"/>
  <c r="K63" i="1"/>
  <c r="K43" i="1"/>
  <c r="K27" i="1"/>
  <c r="K53" i="1"/>
  <c r="K26" i="1"/>
  <c r="K40" i="1"/>
  <c r="K37" i="1"/>
  <c r="K57" i="1"/>
  <c r="K35" i="1"/>
  <c r="K34" i="1"/>
  <c r="K56" i="1"/>
  <c r="K33" i="1"/>
  <c r="K50" i="1"/>
  <c r="K45" i="1"/>
  <c r="K60" i="1"/>
  <c r="K41" i="1"/>
  <c r="K22" i="1"/>
  <c r="K21" i="1"/>
  <c r="K67" i="1"/>
  <c r="J68" i="1"/>
  <c r="J29" i="1"/>
  <c r="J65" i="1"/>
  <c r="J47" i="1"/>
  <c r="J72" i="1"/>
  <c r="J69" i="1"/>
  <c r="J15" i="1"/>
  <c r="J31" i="1"/>
  <c r="J71" i="1"/>
  <c r="J48" i="1"/>
  <c r="J62" i="1"/>
  <c r="J23" i="1"/>
  <c r="J52" i="1"/>
  <c r="J8" i="1"/>
  <c r="J24" i="1"/>
  <c r="J59" i="1"/>
  <c r="J18" i="1"/>
  <c r="J16" i="1"/>
  <c r="J9" i="1"/>
  <c r="J20" i="1"/>
  <c r="J13" i="1"/>
  <c r="J28" i="1"/>
  <c r="J30" i="1"/>
  <c r="J12" i="1"/>
  <c r="J32" i="1"/>
  <c r="J49" i="1"/>
  <c r="J64" i="1"/>
  <c r="J17" i="1"/>
  <c r="J6" i="1"/>
  <c r="J10" i="1"/>
  <c r="J55" i="1"/>
  <c r="J51" i="1"/>
  <c r="J7" i="1"/>
  <c r="J42" i="1"/>
  <c r="J39" i="1"/>
  <c r="J38" i="1"/>
  <c r="J66" i="1"/>
  <c r="J19" i="1"/>
  <c r="J58" i="1"/>
  <c r="J44" i="1"/>
  <c r="J63" i="1"/>
  <c r="J43" i="1"/>
  <c r="J27" i="1"/>
  <c r="J53" i="1"/>
  <c r="J26" i="1"/>
  <c r="J40" i="1"/>
  <c r="J37" i="1"/>
  <c r="J57" i="1"/>
  <c r="J35" i="1"/>
  <c r="J34" i="1"/>
  <c r="I56" i="1"/>
  <c r="I33" i="1"/>
  <c r="I50" i="1"/>
  <c r="I45" i="1"/>
  <c r="I60" i="1"/>
  <c r="I41" i="1"/>
  <c r="I22" i="1"/>
  <c r="I21" i="1"/>
  <c r="I67" i="1"/>
  <c r="H68" i="1"/>
  <c r="H29" i="1"/>
  <c r="H65" i="1"/>
  <c r="H47" i="1"/>
  <c r="H72" i="1"/>
  <c r="H69" i="1"/>
  <c r="H15" i="1"/>
  <c r="H31" i="1"/>
  <c r="H71" i="1"/>
  <c r="H48" i="1"/>
  <c r="H62" i="1"/>
  <c r="H23" i="1"/>
  <c r="H52" i="1"/>
  <c r="H8" i="1"/>
  <c r="H24" i="1"/>
  <c r="H59" i="1"/>
  <c r="H18" i="1"/>
  <c r="H16" i="1"/>
  <c r="H9" i="1"/>
  <c r="H20" i="1"/>
  <c r="H13" i="1"/>
  <c r="H28" i="1"/>
  <c r="H30" i="1"/>
  <c r="H12" i="1"/>
  <c r="H32" i="1"/>
  <c r="H49" i="1"/>
  <c r="H64" i="1"/>
  <c r="H17" i="1"/>
  <c r="H6" i="1"/>
  <c r="H10" i="1"/>
  <c r="H55" i="1"/>
  <c r="H51" i="1"/>
  <c r="H7" i="1"/>
  <c r="H42" i="1"/>
  <c r="H39" i="1"/>
  <c r="H38" i="1"/>
  <c r="H66" i="1"/>
  <c r="H19" i="1"/>
  <c r="H58" i="1"/>
  <c r="H44" i="1"/>
  <c r="H63" i="1"/>
  <c r="H43" i="1"/>
  <c r="H27" i="1"/>
  <c r="H53" i="1"/>
  <c r="H26" i="1"/>
  <c r="H40" i="1"/>
  <c r="H37" i="1"/>
  <c r="H57" i="1"/>
  <c r="H35" i="1"/>
  <c r="H34" i="1"/>
  <c r="H56" i="1"/>
  <c r="H33" i="1"/>
  <c r="H50" i="1"/>
  <c r="H45" i="1"/>
  <c r="H60" i="1"/>
  <c r="H41" i="1"/>
  <c r="H22" i="1"/>
  <c r="H21" i="1"/>
  <c r="H67" i="1"/>
  <c r="G56" i="1"/>
  <c r="G33" i="1"/>
  <c r="G50" i="1"/>
  <c r="G45" i="1"/>
  <c r="G60" i="1"/>
  <c r="G41" i="1"/>
  <c r="G22" i="1"/>
  <c r="G21" i="1"/>
  <c r="G67" i="1"/>
  <c r="F56" i="1"/>
  <c r="F33" i="1"/>
  <c r="F50" i="1"/>
  <c r="F45" i="1"/>
  <c r="F60" i="1"/>
  <c r="F41" i="1"/>
  <c r="F22" i="1"/>
  <c r="F21" i="1"/>
  <c r="F67" i="1"/>
  <c r="F68" i="1"/>
  <c r="F29" i="1"/>
  <c r="F65" i="1"/>
  <c r="F47" i="1"/>
  <c r="F72" i="1"/>
  <c r="F69" i="1"/>
  <c r="F15" i="1"/>
  <c r="F31" i="1"/>
  <c r="F71" i="1"/>
  <c r="F48" i="1"/>
  <c r="F62" i="1"/>
  <c r="F23" i="1"/>
  <c r="F52" i="1"/>
  <c r="F8" i="1"/>
  <c r="F24" i="1"/>
  <c r="F59" i="1"/>
  <c r="F18" i="1"/>
  <c r="F16" i="1"/>
  <c r="F9" i="1"/>
  <c r="F20" i="1"/>
  <c r="F13" i="1"/>
  <c r="F28" i="1"/>
  <c r="F30" i="1"/>
  <c r="F12" i="1"/>
  <c r="F32" i="1"/>
  <c r="F49" i="1"/>
  <c r="F64" i="1"/>
  <c r="F17" i="1"/>
  <c r="F6" i="1"/>
  <c r="F10" i="1"/>
  <c r="F55" i="1"/>
  <c r="F51" i="1"/>
  <c r="F7" i="1"/>
  <c r="F42" i="1"/>
  <c r="F39" i="1"/>
  <c r="F38" i="1"/>
  <c r="F66" i="1"/>
  <c r="F19" i="1"/>
  <c r="F44" i="1"/>
  <c r="F63" i="1"/>
  <c r="F43" i="1"/>
  <c r="F27" i="1"/>
  <c r="F53" i="1"/>
  <c r="F26" i="1"/>
  <c r="F40" i="1"/>
  <c r="F37" i="1"/>
  <c r="F57" i="1"/>
  <c r="F35" i="1"/>
  <c r="F34" i="1"/>
  <c r="I68" i="1"/>
  <c r="I29" i="1"/>
  <c r="I65" i="1"/>
  <c r="I47" i="1"/>
  <c r="I72" i="1"/>
  <c r="I69" i="1"/>
  <c r="I15" i="1"/>
  <c r="I31" i="1"/>
  <c r="I71" i="1"/>
  <c r="I48" i="1"/>
  <c r="I62" i="1"/>
  <c r="I23" i="1"/>
  <c r="I52" i="1"/>
  <c r="I8" i="1"/>
  <c r="I24" i="1"/>
  <c r="I59" i="1"/>
  <c r="I18" i="1"/>
  <c r="I16" i="1"/>
  <c r="I9" i="1"/>
  <c r="I20" i="1"/>
  <c r="I13" i="1"/>
  <c r="I28" i="1"/>
  <c r="I30" i="1"/>
  <c r="I12" i="1"/>
  <c r="I32" i="1"/>
  <c r="I49" i="1"/>
  <c r="I64" i="1"/>
  <c r="I17" i="1"/>
  <c r="I6" i="1"/>
  <c r="I10" i="1"/>
  <c r="I55" i="1"/>
  <c r="I51" i="1"/>
  <c r="I7" i="1"/>
  <c r="I42" i="1"/>
  <c r="I39" i="1"/>
  <c r="I38" i="1"/>
  <c r="I66" i="1"/>
  <c r="I19" i="1"/>
  <c r="I58" i="1"/>
  <c r="I44" i="1"/>
  <c r="I63" i="1"/>
  <c r="I43" i="1"/>
  <c r="I27" i="1"/>
  <c r="I53" i="1"/>
  <c r="I26" i="1"/>
  <c r="I40" i="1"/>
  <c r="I37" i="1"/>
  <c r="I57" i="1"/>
  <c r="I35" i="1"/>
  <c r="I34" i="1"/>
  <c r="I46" i="1"/>
  <c r="H46" i="1"/>
  <c r="G46" i="1"/>
  <c r="G68" i="1"/>
  <c r="G29" i="1"/>
  <c r="G65" i="1"/>
  <c r="G47" i="1"/>
  <c r="G72" i="1"/>
  <c r="G69" i="1"/>
  <c r="G15" i="1"/>
  <c r="G31" i="1"/>
  <c r="G71" i="1"/>
  <c r="G48" i="1"/>
  <c r="G62" i="1"/>
  <c r="G23" i="1"/>
  <c r="G52" i="1"/>
  <c r="G8" i="1"/>
  <c r="G24" i="1"/>
  <c r="G59" i="1"/>
  <c r="G18" i="1"/>
  <c r="G16" i="1"/>
  <c r="G9" i="1"/>
  <c r="G20" i="1"/>
  <c r="G13" i="1"/>
  <c r="G28" i="1"/>
  <c r="G30" i="1"/>
  <c r="G12" i="1"/>
  <c r="G32" i="1"/>
  <c r="G49" i="1"/>
  <c r="G64" i="1"/>
  <c r="G17" i="1"/>
  <c r="G6" i="1"/>
  <c r="G10" i="1"/>
  <c r="G55" i="1"/>
  <c r="G51" i="1"/>
  <c r="G7" i="1"/>
  <c r="G42" i="1"/>
  <c r="G39" i="1"/>
  <c r="G38" i="1"/>
  <c r="G66" i="1"/>
  <c r="G19" i="1"/>
  <c r="G58" i="1"/>
  <c r="G44" i="1"/>
  <c r="G63" i="1"/>
  <c r="G43" i="1"/>
  <c r="G27" i="1"/>
  <c r="G53" i="1"/>
  <c r="G26" i="1"/>
  <c r="G40" i="1"/>
  <c r="G37" i="1"/>
  <c r="G57" i="1"/>
  <c r="G35" i="1"/>
  <c r="G34" i="1"/>
  <c r="F46" i="1"/>
  <c r="L46" i="1"/>
  <c r="M46" i="1"/>
  <c r="M68" i="1"/>
  <c r="M29" i="1"/>
  <c r="M65" i="1"/>
  <c r="M47" i="1"/>
  <c r="M72" i="1"/>
  <c r="M69" i="1"/>
  <c r="M15" i="1"/>
  <c r="M31" i="1"/>
  <c r="M71" i="1"/>
  <c r="M48" i="1"/>
  <c r="M62" i="1"/>
  <c r="M23" i="1"/>
  <c r="M52" i="1"/>
  <c r="M8" i="1"/>
  <c r="M24" i="1"/>
  <c r="M59" i="1"/>
  <c r="M18" i="1"/>
  <c r="M16" i="1"/>
  <c r="M9" i="1"/>
  <c r="M20" i="1"/>
  <c r="M13" i="1"/>
  <c r="M28" i="1"/>
  <c r="M30" i="1"/>
  <c r="M12" i="1"/>
  <c r="M32" i="1"/>
  <c r="M49" i="1"/>
  <c r="M64" i="1"/>
  <c r="M17" i="1"/>
  <c r="M6" i="1"/>
  <c r="M10" i="1"/>
  <c r="M55" i="1"/>
  <c r="M51" i="1"/>
  <c r="M7" i="1"/>
  <c r="M42" i="1"/>
  <c r="M39" i="1"/>
  <c r="M38" i="1"/>
  <c r="M66" i="1"/>
  <c r="M19" i="1"/>
  <c r="M58" i="1"/>
  <c r="M44" i="1"/>
  <c r="M63" i="1"/>
  <c r="M43" i="1"/>
  <c r="M27" i="1"/>
  <c r="M53" i="1"/>
  <c r="M26" i="1"/>
  <c r="M40" i="1"/>
  <c r="M37" i="1"/>
  <c r="M57" i="1"/>
  <c r="M35" i="1"/>
  <c r="M34" i="1"/>
  <c r="Q68" i="1"/>
  <c r="Q29" i="1"/>
  <c r="Q65" i="1"/>
  <c r="Q47" i="1"/>
  <c r="Q72" i="1"/>
  <c r="Q69" i="1"/>
  <c r="Q15" i="1"/>
  <c r="Q31" i="1"/>
  <c r="Q71" i="1"/>
  <c r="Q48" i="1"/>
  <c r="Q62" i="1"/>
  <c r="Q23" i="1"/>
  <c r="Q52" i="1"/>
  <c r="Q24" i="1"/>
  <c r="Q59" i="1"/>
  <c r="Q18" i="1"/>
  <c r="Q16" i="1"/>
  <c r="Q9" i="1"/>
  <c r="Q20" i="1"/>
  <c r="Q13" i="1"/>
  <c r="Q28" i="1"/>
  <c r="Q30" i="1"/>
  <c r="Q12" i="1"/>
  <c r="Q32" i="1"/>
  <c r="Q49" i="1"/>
  <c r="Q64" i="1"/>
  <c r="Q17" i="1"/>
  <c r="Q10" i="1"/>
  <c r="Q55" i="1"/>
  <c r="Q51" i="1"/>
  <c r="Q7" i="1"/>
  <c r="Q42" i="1"/>
  <c r="Q39" i="1"/>
  <c r="Q38" i="1"/>
  <c r="Q66" i="1"/>
  <c r="Q19" i="1"/>
  <c r="Q58" i="1"/>
  <c r="Q44" i="1"/>
  <c r="Q63" i="1"/>
  <c r="Q43" i="1"/>
  <c r="Q27" i="1"/>
  <c r="Q53" i="1"/>
  <c r="Q26" i="1"/>
  <c r="Q40" i="1"/>
  <c r="Q37" i="1"/>
  <c r="Q57" i="1"/>
  <c r="Q35" i="1"/>
  <c r="Q34" i="1"/>
  <c r="Q46" i="1"/>
  <c r="P46" i="1"/>
  <c r="P68" i="1"/>
  <c r="P29" i="1"/>
  <c r="P65" i="1"/>
  <c r="P47" i="1"/>
  <c r="P72" i="1"/>
  <c r="P69" i="1"/>
  <c r="P31" i="1"/>
  <c r="P71" i="1"/>
  <c r="P48" i="1"/>
  <c r="P62" i="1"/>
  <c r="P23" i="1"/>
  <c r="P52" i="1"/>
  <c r="P8" i="1"/>
  <c r="P24" i="1"/>
  <c r="P59" i="1"/>
  <c r="P18" i="1"/>
  <c r="P16" i="1"/>
  <c r="P9" i="1"/>
  <c r="P20" i="1"/>
  <c r="P13" i="1"/>
  <c r="P28" i="1"/>
  <c r="P30" i="1"/>
  <c r="P12" i="1"/>
  <c r="P32" i="1"/>
  <c r="P49" i="1"/>
  <c r="P64" i="1"/>
  <c r="P17" i="1"/>
  <c r="P10" i="1"/>
  <c r="P55" i="1"/>
  <c r="P51" i="1"/>
  <c r="P7" i="1"/>
  <c r="P42" i="1"/>
  <c r="P39" i="1"/>
  <c r="P38" i="1"/>
  <c r="P19" i="1"/>
  <c r="P58" i="1"/>
  <c r="P44" i="1"/>
  <c r="P63" i="1"/>
  <c r="P43" i="1"/>
  <c r="P27" i="1"/>
  <c r="P53" i="1"/>
  <c r="P26" i="1"/>
  <c r="P40" i="1"/>
  <c r="P37" i="1"/>
  <c r="P57" i="1"/>
  <c r="P35" i="1"/>
  <c r="P34" i="1"/>
  <c r="O46" i="1"/>
  <c r="O68" i="1"/>
  <c r="O29" i="1"/>
  <c r="O65" i="1"/>
  <c r="O47" i="1"/>
  <c r="O72" i="1"/>
  <c r="O69" i="1"/>
  <c r="O31" i="1"/>
  <c r="O71" i="1"/>
  <c r="O48" i="1"/>
  <c r="O62" i="1"/>
  <c r="O23" i="1"/>
  <c r="O52" i="1"/>
  <c r="O8" i="1"/>
  <c r="O24" i="1"/>
  <c r="O59" i="1"/>
  <c r="O18" i="1"/>
  <c r="O16" i="1"/>
  <c r="O9" i="1"/>
  <c r="O20" i="1"/>
  <c r="O13" i="1"/>
  <c r="O28" i="1"/>
  <c r="O30" i="1"/>
  <c r="O12" i="1"/>
  <c r="O32" i="1"/>
  <c r="O49" i="1"/>
  <c r="O64" i="1"/>
  <c r="O17" i="1"/>
  <c r="O6" i="1"/>
  <c r="O10" i="1"/>
  <c r="O55" i="1"/>
  <c r="O51" i="1"/>
  <c r="O7" i="1"/>
  <c r="O42" i="1"/>
  <c r="O39" i="1"/>
  <c r="O38" i="1"/>
  <c r="O66" i="1"/>
  <c r="O19" i="1"/>
  <c r="O58" i="1"/>
  <c r="O44" i="1"/>
  <c r="O63" i="1"/>
  <c r="O43" i="1"/>
  <c r="O27" i="1"/>
  <c r="O53" i="1"/>
  <c r="O26" i="1"/>
  <c r="O40" i="1"/>
  <c r="O37" i="1"/>
  <c r="O57" i="1"/>
  <c r="O35" i="1"/>
  <c r="O34" i="1"/>
  <c r="N46" i="1"/>
  <c r="N68" i="1"/>
  <c r="N29" i="1"/>
  <c r="N65" i="1"/>
  <c r="N47" i="1"/>
  <c r="N72" i="1"/>
  <c r="N69" i="1"/>
  <c r="N15" i="1"/>
  <c r="N31" i="1"/>
  <c r="N71" i="1"/>
  <c r="N48" i="1"/>
  <c r="N62" i="1"/>
  <c r="N23" i="1"/>
  <c r="N52" i="1"/>
  <c r="N8" i="1"/>
  <c r="N24" i="1"/>
  <c r="N59" i="1"/>
  <c r="N18" i="1"/>
  <c r="N16" i="1"/>
  <c r="N9" i="1"/>
  <c r="N20" i="1"/>
  <c r="N13" i="1"/>
  <c r="N28" i="1"/>
  <c r="N30" i="1"/>
  <c r="N12" i="1"/>
  <c r="N32" i="1"/>
  <c r="N49" i="1"/>
  <c r="N64" i="1"/>
  <c r="N17" i="1"/>
  <c r="N6" i="1"/>
  <c r="N10" i="1"/>
  <c r="N55" i="1"/>
  <c r="N51" i="1"/>
  <c r="N7" i="1"/>
  <c r="N42" i="1"/>
  <c r="N39" i="1"/>
  <c r="N38" i="1"/>
  <c r="N66" i="1"/>
  <c r="N19" i="1"/>
  <c r="N44" i="1"/>
  <c r="N63" i="1"/>
  <c r="N43" i="1"/>
  <c r="N27" i="1"/>
  <c r="N53" i="1"/>
  <c r="N26" i="1"/>
  <c r="N40" i="1"/>
  <c r="N37" i="1"/>
  <c r="N57" i="1"/>
  <c r="N35" i="1"/>
  <c r="N34" i="1"/>
  <c r="J46" i="1"/>
  <c r="K46" i="1"/>
</calcChain>
</file>

<file path=xl/sharedStrings.xml><?xml version="1.0" encoding="utf-8"?>
<sst xmlns="http://schemas.openxmlformats.org/spreadsheetml/2006/main" count="1591" uniqueCount="296">
  <si>
    <t>STORE CODE</t>
  </si>
  <si>
    <t>STORE NAME</t>
  </si>
  <si>
    <t>BRANCH</t>
  </si>
  <si>
    <t>STORE PERFORMANCE</t>
  </si>
  <si>
    <t>UF27</t>
  </si>
  <si>
    <t>DS BALIKPAPAN</t>
  </si>
  <si>
    <t>SIDOARJO</t>
  </si>
  <si>
    <t>W785</t>
  </si>
  <si>
    <t>DS BROMO MEDAN</t>
  </si>
  <si>
    <t>MEDAN</t>
  </si>
  <si>
    <t>2DV4</t>
  </si>
  <si>
    <t>DS BATAM CITY</t>
  </si>
  <si>
    <t>BATAM</t>
  </si>
  <si>
    <t>TI12</t>
  </si>
  <si>
    <t>DS RUKO DOTCOM</t>
  </si>
  <si>
    <t>CIKOKOL</t>
  </si>
  <si>
    <t>2DV1</t>
  </si>
  <si>
    <t>DS NAGOYA BATAM</t>
  </si>
  <si>
    <t>TI17</t>
  </si>
  <si>
    <t>DS BSD</t>
  </si>
  <si>
    <t>TI33</t>
  </si>
  <si>
    <t>DS ALAM SUTERA</t>
  </si>
  <si>
    <t>W858</t>
  </si>
  <si>
    <t>DS RINGROAD</t>
  </si>
  <si>
    <t>W837</t>
  </si>
  <si>
    <t>DS CEMARA ASRI</t>
  </si>
  <si>
    <t>R860</t>
  </si>
  <si>
    <t>DS ABDESIR MKS</t>
  </si>
  <si>
    <t>MAKASSAR</t>
  </si>
  <si>
    <t>Q912</t>
  </si>
  <si>
    <t xml:space="preserve">DS HAYAM WURUK </t>
  </si>
  <si>
    <t>BALI</t>
  </si>
  <si>
    <t>1YBX</t>
  </si>
  <si>
    <t>DS TIKALA ARES</t>
  </si>
  <si>
    <t>MANADO</t>
  </si>
  <si>
    <t>1AJX</t>
  </si>
  <si>
    <t>DS SOEKARNO HATTA</t>
  </si>
  <si>
    <t>PEKANBARU</t>
  </si>
  <si>
    <t>1GCL</t>
  </si>
  <si>
    <t>DS PEMURUS</t>
  </si>
  <si>
    <t>BANJARMASIN</t>
  </si>
  <si>
    <t>1M6V</t>
  </si>
  <si>
    <t>DS GRAND DEPOK</t>
  </si>
  <si>
    <t>JD83</t>
  </si>
  <si>
    <t>DS SUNTER KEMAYORAN</t>
  </si>
  <si>
    <t>CILEUNGSI_2</t>
  </si>
  <si>
    <t>CI81</t>
  </si>
  <si>
    <t>DS GALAXY</t>
  </si>
  <si>
    <t>1M9B</t>
  </si>
  <si>
    <t>DS SERUA</t>
  </si>
  <si>
    <t>PA39</t>
  </si>
  <si>
    <t>DS DEMANG LEBAR DAUN</t>
  </si>
  <si>
    <t>PALEMBANG</t>
  </si>
  <si>
    <t>R876</t>
  </si>
  <si>
    <t>DS HASANUDDIN GOWA</t>
  </si>
  <si>
    <t>CI99</t>
  </si>
  <si>
    <t>DS HARAPAN INDAH</t>
  </si>
  <si>
    <t>1M6U</t>
  </si>
  <si>
    <t>DS KEMANG</t>
  </si>
  <si>
    <t>TH72</t>
  </si>
  <si>
    <t>DS LETNAN SUTOPO</t>
  </si>
  <si>
    <t>UF32</t>
  </si>
  <si>
    <t>DS DHARMAHUSADA</t>
  </si>
  <si>
    <t>1M8Q</t>
  </si>
  <si>
    <t>DS ANDARA JAGAKARSA</t>
  </si>
  <si>
    <t>1M8R</t>
  </si>
  <si>
    <t>DS DC PARUNG</t>
  </si>
  <si>
    <t>KF65</t>
  </si>
  <si>
    <t>DS KEMANGGISAN</t>
  </si>
  <si>
    <t>TH06</t>
  </si>
  <si>
    <t>DS MUARA KARANG</t>
  </si>
  <si>
    <t>JD75</t>
  </si>
  <si>
    <t>DS KELAPA GADING</t>
  </si>
  <si>
    <t>R899</t>
  </si>
  <si>
    <t>DS UJUNG PANDANG</t>
  </si>
  <si>
    <t>JD76</t>
  </si>
  <si>
    <t>DS KYOTO KOTA WISATA</t>
  </si>
  <si>
    <t>1M7A</t>
  </si>
  <si>
    <t>DS PONDOK INDAH</t>
  </si>
  <si>
    <t>UD92</t>
  </si>
  <si>
    <t>DS CITRALAND</t>
  </si>
  <si>
    <t>CJ02</t>
  </si>
  <si>
    <t>DS MUSTIKA JAYA</t>
  </si>
  <si>
    <t>XC36</t>
  </si>
  <si>
    <t>DS CIBUBUR</t>
  </si>
  <si>
    <t>L813</t>
  </si>
  <si>
    <t>DS SEBESI</t>
  </si>
  <si>
    <t>LAMPUNG</t>
  </si>
  <si>
    <t>KF81</t>
  </si>
  <si>
    <t>DS KEBON RAYA 9</t>
  </si>
  <si>
    <t>BJ15</t>
  </si>
  <si>
    <t>DS CIHAMPELAS</t>
  </si>
  <si>
    <t>BANDUNG</t>
  </si>
  <si>
    <t>KF84</t>
  </si>
  <si>
    <t xml:space="preserve">DS PERMATA HIJAU </t>
  </si>
  <si>
    <t>JE34</t>
  </si>
  <si>
    <t>DS KALIMALANG</t>
  </si>
  <si>
    <t>1M8M</t>
  </si>
  <si>
    <t>DS MERUYUNG</t>
  </si>
  <si>
    <t>TI85</t>
  </si>
  <si>
    <t>DS BINTARO</t>
  </si>
  <si>
    <t>XC11</t>
  </si>
  <si>
    <t>DS SENTUL</t>
  </si>
  <si>
    <t>UF29</t>
  </si>
  <si>
    <t>DS TENGGILIS SBY</t>
  </si>
  <si>
    <t>1M7T</t>
  </si>
  <si>
    <t>DS BUKIT RAYA</t>
  </si>
  <si>
    <t>CI94</t>
  </si>
  <si>
    <t>DS SUMMARECON</t>
  </si>
  <si>
    <t>JE33</t>
  </si>
  <si>
    <t>DS KEMANGSARI</t>
  </si>
  <si>
    <t>UF60</t>
  </si>
  <si>
    <t>DS DIPONEGORO SBY</t>
  </si>
  <si>
    <t>UF28</t>
  </si>
  <si>
    <t>DS GREEN HARVEST SBY</t>
  </si>
  <si>
    <t>JE35</t>
  </si>
  <si>
    <t>DS UJUNG ASPAL</t>
  </si>
  <si>
    <t>KF71</t>
  </si>
  <si>
    <t>DS KUNINGAN</t>
  </si>
  <si>
    <t>KG06</t>
  </si>
  <si>
    <t xml:space="preserve">DS GREEN LAKE </t>
  </si>
  <si>
    <t>JE45</t>
  </si>
  <si>
    <t>DS CEMPAKA PUTIH</t>
  </si>
  <si>
    <t>TI97</t>
  </si>
  <si>
    <t>DS HIERA</t>
  </si>
  <si>
    <t>HE09</t>
  </si>
  <si>
    <t>DS PAMULARSIH</t>
  </si>
  <si>
    <t>SEMARANG</t>
  </si>
  <si>
    <t>1JFF</t>
  </si>
  <si>
    <t>DS GALUH MAS</t>
  </si>
  <si>
    <t>UF76</t>
  </si>
  <si>
    <t>DS GANTING</t>
  </si>
  <si>
    <t>HE19</t>
  </si>
  <si>
    <t>DS TEMBALANG</t>
  </si>
  <si>
    <t>XC41</t>
  </si>
  <si>
    <t>DS GRAND DEPOK CITY</t>
  </si>
  <si>
    <t>PC17</t>
  </si>
  <si>
    <t>DS SAPTA MARGA</t>
  </si>
  <si>
    <t>CJ10</t>
  </si>
  <si>
    <t>DS PULO GEBANG</t>
  </si>
  <si>
    <t>M2S2</t>
  </si>
  <si>
    <t>DS ARAYA</t>
  </si>
  <si>
    <t>MALANG</t>
  </si>
  <si>
    <t>1M9D</t>
  </si>
  <si>
    <t>DS ARIA PUTRA</t>
  </si>
  <si>
    <t>OOS I</t>
  </si>
  <si>
    <t>OOS OFMB</t>
  </si>
  <si>
    <t>JHK</t>
  </si>
  <si>
    <t>NET SALES</t>
  </si>
  <si>
    <t>SPD</t>
  </si>
  <si>
    <t>STD</t>
  </si>
  <si>
    <t>ALL</t>
  </si>
  <si>
    <t>EXC. BEANSPOT</t>
  </si>
  <si>
    <t>RP INVENTORY</t>
  </si>
  <si>
    <t>RP PKM</t>
  </si>
  <si>
    <t>DSI OH</t>
  </si>
  <si>
    <t>Kode Toko</t>
  </si>
  <si>
    <t>% OOS TAG I</t>
  </si>
  <si>
    <t>% OOS OFMB</t>
  </si>
  <si>
    <t>No</t>
  </si>
  <si>
    <t>Nama Toko</t>
  </si>
  <si>
    <t>MAT Exc Beanspot</t>
  </si>
  <si>
    <t>BJ49</t>
  </si>
  <si>
    <t>DS DC BANDUNG</t>
  </si>
  <si>
    <t>L836</t>
  </si>
  <si>
    <t>DS PAGAR ALAM</t>
  </si>
  <si>
    <t>MAT All</t>
  </si>
  <si>
    <t>Store Code</t>
  </si>
  <si>
    <t>Store Name</t>
  </si>
  <si>
    <t>Item Aktif</t>
  </si>
  <si>
    <t>Item On Stock Total</t>
  </si>
  <si>
    <t>Item On Stock (OH &gt; 0)</t>
  </si>
  <si>
    <t>Item No Stock (OOS)</t>
  </si>
  <si>
    <t>Item No Stock (OH &gt; 0)</t>
  </si>
  <si>
    <t>Inventory Value</t>
  </si>
  <si>
    <t>MPKM Value</t>
  </si>
  <si>
    <t>PKM Value</t>
  </si>
  <si>
    <t>N+ Value</t>
  </si>
  <si>
    <t>PKM Exist Value</t>
  </si>
  <si>
    <t>GAP Value (Inv. vs PKM Exist)</t>
  </si>
  <si>
    <t>DSI PKM</t>
  </si>
  <si>
    <t>OOS On Stock</t>
  </si>
  <si>
    <t>OOS % On Stock</t>
  </si>
  <si>
    <t>MAT % On Stock</t>
  </si>
  <si>
    <t>MAT % No Stock</t>
  </si>
  <si>
    <t>MAT % Beanspot</t>
  </si>
  <si>
    <t>Cabang</t>
  </si>
  <si>
    <t>% OOS ALL</t>
  </si>
  <si>
    <t>KD_STORE</t>
  </si>
  <si>
    <t>NAMA_STORE</t>
  </si>
  <si>
    <t>KD_BRANCH</t>
  </si>
  <si>
    <t>NAMA_BRANCH</t>
  </si>
  <si>
    <t>REMARK</t>
  </si>
  <si>
    <t>SALES</t>
  </si>
  <si>
    <t>STRUK</t>
  </si>
  <si>
    <t>GM</t>
  </si>
  <si>
    <t>PERCENT_GM</t>
  </si>
  <si>
    <t>APC</t>
  </si>
  <si>
    <t>SHOPPER</t>
  </si>
  <si>
    <t>JHK_DELIVERY</t>
  </si>
  <si>
    <t>SALES_DELIVERY</t>
  </si>
  <si>
    <t>GM_DELIVERY</t>
  </si>
  <si>
    <t>PERCENT_GM_DELIVERY</t>
  </si>
  <si>
    <t>STRUK_DELIVERY</t>
  </si>
  <si>
    <t>SHOPPER_DELIVERY</t>
  </si>
  <si>
    <t>JHK_TAGI</t>
  </si>
  <si>
    <t>SALES_TAGI</t>
  </si>
  <si>
    <t>STRUK_TAGI</t>
  </si>
  <si>
    <t>TAGI_PCT</t>
  </si>
  <si>
    <t>OTHER_TAGI_PCT</t>
  </si>
  <si>
    <t>GM_TAGI</t>
  </si>
  <si>
    <t>PERCENT_GM_TAGI</t>
  </si>
  <si>
    <t>SHOPPER_TAGI</t>
  </si>
  <si>
    <t>JUMLAH_DELIVERY</t>
  </si>
  <si>
    <t>DELIVERY_ONTIME</t>
  </si>
  <si>
    <t>DELIVERY_LATE</t>
  </si>
  <si>
    <t>DELIVERY_NO_SLA</t>
  </si>
  <si>
    <t>DELIVERY_REG</t>
  </si>
  <si>
    <t>DELIVERY_REG_ONTIME</t>
  </si>
  <si>
    <t>DELIVERY_REG_LATE</t>
  </si>
  <si>
    <t>DELIVERY_REG_NO_SLA</t>
  </si>
  <si>
    <t>TOTAL_MENIT_REG</t>
  </si>
  <si>
    <t>SLA_REG</t>
  </si>
  <si>
    <t>DELIVERY_TAGI</t>
  </si>
  <si>
    <t>DELIVERY_TAGI_ONTIME</t>
  </si>
  <si>
    <t>DELIVERY_TAGI_LATE</t>
  </si>
  <si>
    <t>DELIVERY_TAGI_NO_SLA</t>
  </si>
  <si>
    <t>TOTAL_MENIT_TAGI</t>
  </si>
  <si>
    <t>SLA_TAGI</t>
  </si>
  <si>
    <t>JUMLAH_SHIPMENT_TUNDA</t>
  </si>
  <si>
    <t>JUMLAH_DELIVERY_EXC_TUNDA</t>
  </si>
  <si>
    <t>DELIVERY_ONTIME_EXC_TUNDA</t>
  </si>
  <si>
    <t>DELIVERY_LATE_EXC_TUNDA</t>
  </si>
  <si>
    <t>DELIVERY_NO_SLA_EXC_TUNDA</t>
  </si>
  <si>
    <t>DELIVERY_REG_EXC_TUNDA</t>
  </si>
  <si>
    <t>DELIVERY_REG_NO_SLA_EXC_TUNDA</t>
  </si>
  <si>
    <t>TOTAL_MENIT_REG_EXC_TUNDA</t>
  </si>
  <si>
    <t>SLA_REG_EXC_TUNDA</t>
  </si>
  <si>
    <t>1AZ1</t>
  </si>
  <si>
    <t>DARKSTORE</t>
  </si>
  <si>
    <t>1GZ1</t>
  </si>
  <si>
    <t>JZ01</t>
  </si>
  <si>
    <t>KZ01</t>
  </si>
  <si>
    <t>1YZ1</t>
  </si>
  <si>
    <t>2DZ1</t>
  </si>
  <si>
    <t>BZ01</t>
  </si>
  <si>
    <t>HZ01</t>
  </si>
  <si>
    <t>LZ01</t>
  </si>
  <si>
    <t>PZ01</t>
  </si>
  <si>
    <t>QZ01</t>
  </si>
  <si>
    <t>RZ01</t>
  </si>
  <si>
    <t>UZ01</t>
  </si>
  <si>
    <t>WZ01</t>
  </si>
  <si>
    <t>UF91</t>
  </si>
  <si>
    <t>DS TROPODO SIDOARJO</t>
  </si>
  <si>
    <t>GAP Value (Inv. vs PKM)</t>
  </si>
  <si>
    <t>Branch Code</t>
  </si>
  <si>
    <t>Branch Name</t>
  </si>
  <si>
    <t>Opening Date</t>
  </si>
  <si>
    <t>Remark</t>
  </si>
  <si>
    <t>DC PALEMBANG</t>
  </si>
  <si>
    <t>Invent</t>
  </si>
  <si>
    <t>DC BANJARMASIN</t>
  </si>
  <si>
    <t>KY12</t>
  </si>
  <si>
    <t>WH PARUNG</t>
  </si>
  <si>
    <t>DC MAKASSAR</t>
  </si>
  <si>
    <t>KY10</t>
  </si>
  <si>
    <t>WH BALARAJA1</t>
  </si>
  <si>
    <t>PKM Auto</t>
  </si>
  <si>
    <t>DC SIDOARJO</t>
  </si>
  <si>
    <t>JY01</t>
  </si>
  <si>
    <t>WH BOGOR</t>
  </si>
  <si>
    <t>JY03</t>
  </si>
  <si>
    <t>WH KARAWANG</t>
  </si>
  <si>
    <t>DC CIKOKOL</t>
  </si>
  <si>
    <t>DC BATAM</t>
  </si>
  <si>
    <t>DC MEDAN</t>
  </si>
  <si>
    <t>JY02</t>
  </si>
  <si>
    <t>WH BEKASI</t>
  </si>
  <si>
    <t>DC BANDUNG</t>
  </si>
  <si>
    <t>DC CILEUNGSI2</t>
  </si>
  <si>
    <t>DC BALI</t>
  </si>
  <si>
    <t>DC SEMARANG</t>
  </si>
  <si>
    <t>DC MANADO</t>
  </si>
  <si>
    <t>DC LAMPUNG</t>
  </si>
  <si>
    <t>-</t>
  </si>
  <si>
    <t>MZ01</t>
  </si>
  <si>
    <t>DC MALANG</t>
  </si>
  <si>
    <t>DC PEKANBARU</t>
  </si>
  <si>
    <t>BJ57</t>
  </si>
  <si>
    <t>DS ANTAPANI</t>
  </si>
  <si>
    <t>% OOS TAG K</t>
  </si>
  <si>
    <t>Report Inventory MTD 1 - 8 September 2026</t>
  </si>
  <si>
    <t>MAT (%) [1 - 7 Sep]</t>
  </si>
  <si>
    <t>OOS (%) [1 - 7 Sep]</t>
  </si>
  <si>
    <t>INVENTORY RECAP [1 - 7 Aug]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</si>
</sst>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333333"/>
      <name val="Arial"/>
      <family val="2"/>
    </font>
    <font>
      <sz val="9"/>
      <color rgb="FF666666"/>
      <name val="Arial"/>
      <family val="2"/>
    </font>
    <font>
      <sz val="8"/>
      <color rgb="FF666666"/>
      <name val="Arial"/>
      <family val="2"/>
    </font>
    <font>
      <sz val="11"/>
      <color theme="0"/>
      <name val="Calibri"/>
      <family val="2"/>
    </font>
    <font>
      <b/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theme="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0" fontId="0" fillId="0" borderId="0" xfId="1" applyNumberFormat="1" applyFont="1"/>
    <xf numFmtId="0" fontId="0" fillId="0" borderId="1" xfId="0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0" xfId="1" applyNumberFormat="1" applyFont="1" applyBorder="1"/>
    <xf numFmtId="0" fontId="0" fillId="0" borderId="10" xfId="0" applyBorder="1"/>
    <xf numFmtId="0" fontId="5" fillId="3" borderId="0" xfId="0" applyFont="1" applyFill="1"/>
    <xf numFmtId="0" fontId="5" fillId="3" borderId="11" xfId="0" applyFont="1" applyFill="1" applyBorder="1"/>
    <xf numFmtId="165" fontId="0" fillId="0" borderId="1" xfId="3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10" fontId="10" fillId="0" borderId="1" xfId="2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9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18" xfId="0" applyBorder="1"/>
    <xf numFmtId="0" fontId="2" fillId="2" borderId="1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9" xfId="0" applyFon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253C9387-7748-4416-91D5-3004EE78392A}"/>
    <cellStyle name="Percent" xfId="1" builtinId="5"/>
  </cellStyles>
  <dxfs count="107">
    <dxf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66666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66666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66666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DD7739-8F52-45F1-BC51-688895D9CE61}" name="Table8" displayName="Table8" ref="A1:BA68" totalsRowShown="0" headerRowDxfId="106" dataDxfId="105" tableBorderDxfId="104">
  <autoFilter ref="A1:BA68" xr:uid="{51DD7739-8F52-45F1-BC51-688895D9CE61}"/>
  <tableColumns count="53">
    <tableColumn id="1" xr3:uid="{76CC436A-2F2D-4DB0-BAEF-3728BFBD2E9A}" name="KD_STORE" dataDxfId="103"/>
    <tableColumn id="2" xr3:uid="{F262A518-5401-4EE9-8820-2989C425D1BB}" name="NAMA_STORE" dataDxfId="102"/>
    <tableColumn id="3" xr3:uid="{ED523BF5-ADE3-46F2-B959-8E0E8B060E97}" name="KD_BRANCH" dataDxfId="101"/>
    <tableColumn id="4" xr3:uid="{7915F468-C610-4ACB-8F02-60E1ECD872FB}" name="NAMA_BRANCH" dataDxfId="100"/>
    <tableColumn id="5" xr3:uid="{751175E7-58D6-4A98-A6CE-80016F328391}" name="REMARK" dataDxfId="99"/>
    <tableColumn id="6" xr3:uid="{3F299636-53B6-4AE4-B32A-9EF8D23DA432}" name="JHK" dataDxfId="98"/>
    <tableColumn id="7" xr3:uid="{240BA1A4-18A1-426D-A020-35AA2CFC7FB4}" name="SALES" dataDxfId="97"/>
    <tableColumn id="8" xr3:uid="{51C80BCE-05EF-4694-9100-4CAC3B6C5822}" name="STRUK" dataDxfId="96"/>
    <tableColumn id="9" xr3:uid="{8B86C382-60A8-49A0-882F-4CC9D7E60FAE}" name="GM" dataDxfId="95"/>
    <tableColumn id="10" xr3:uid="{ED82FD75-B865-427B-9239-A08D3963AAB2}" name="PERCENT_GM" dataDxfId="94"/>
    <tableColumn id="11" xr3:uid="{363142D0-09D9-4247-B4D1-DDE0E731BF5C}" name="SPD" dataDxfId="93"/>
    <tableColumn id="12" xr3:uid="{E49790E0-67F2-49E1-B464-722A7ACF5BA2}" name="STD" dataDxfId="92"/>
    <tableColumn id="13" xr3:uid="{D8AC05C0-469B-4096-A73F-98C7BACDA88B}" name="APC" dataDxfId="91"/>
    <tableColumn id="14" xr3:uid="{84779068-2E9C-4814-B629-BF44EBDAEF69}" name="SHOPPER" dataDxfId="90"/>
    <tableColumn id="15" xr3:uid="{F6194116-E8C9-483B-A1CB-7792887F103E}" name="JHK_DELIVERY" dataDxfId="89"/>
    <tableColumn id="16" xr3:uid="{3CFB16F0-13B8-4D48-9B0E-8890497AE3C9}" name="SALES_DELIVERY" dataDxfId="88"/>
    <tableColumn id="17" xr3:uid="{676601EA-712B-4D4E-AE96-13F79C665B90}" name="GM_DELIVERY" dataDxfId="87"/>
    <tableColumn id="18" xr3:uid="{8A08754F-DCD6-45F9-9C03-D5EF511587A7}" name="PERCENT_GM_DELIVERY" dataDxfId="86"/>
    <tableColumn id="19" xr3:uid="{30CDE8B3-9C5F-4A57-A1E6-294172E3DD3E}" name="STRUK_DELIVERY" dataDxfId="85"/>
    <tableColumn id="20" xr3:uid="{B4AF9836-8A0A-44C4-9F66-25BEAE082773}" name="SHOPPER_DELIVERY" dataDxfId="84"/>
    <tableColumn id="21" xr3:uid="{31BCAE38-8961-4776-B1DA-7BDDC329E9A3}" name="JHK_TAGI" dataDxfId="83"/>
    <tableColumn id="22" xr3:uid="{B9AECE65-B0BB-4593-A67C-FC56C63D049B}" name="SALES_TAGI" dataDxfId="82"/>
    <tableColumn id="23" xr3:uid="{CB185AB1-DDEF-4000-B8AC-1EC51085DA28}" name="STRUK_TAGI" dataDxfId="81"/>
    <tableColumn id="24" xr3:uid="{500BF0B2-5B18-46D0-BFA4-8D8575CAFC3B}" name="TAGI_PCT" dataDxfId="80"/>
    <tableColumn id="25" xr3:uid="{1491B904-7DC9-4093-BF72-63B145375ECE}" name="OTHER_TAGI_PCT" dataDxfId="79"/>
    <tableColumn id="26" xr3:uid="{D6A202B3-AA7A-420F-AF87-D3D3ADAB5F3E}" name="GM_TAGI" dataDxfId="78"/>
    <tableColumn id="27" xr3:uid="{CC6CAD84-90EF-45B8-B602-8CD17105257D}" name="PERCENT_GM_TAGI" dataDxfId="77"/>
    <tableColumn id="28" xr3:uid="{94B7836D-81C1-4033-B276-533200636E86}" name="SHOPPER_TAGI" dataDxfId="76"/>
    <tableColumn id="29" xr3:uid="{4DC0D796-9687-4AF5-BDFA-6EA7D885BE7F}" name="JUMLAH_DELIVERY" dataDxfId="75"/>
    <tableColumn id="30" xr3:uid="{C3AF34A4-139F-4C5E-B7F2-24188698B6DF}" name="DELIVERY_ONTIME" dataDxfId="74"/>
    <tableColumn id="31" xr3:uid="{A771F486-1631-4781-944A-85AB97085565}" name="DELIVERY_LATE" dataDxfId="73"/>
    <tableColumn id="32" xr3:uid="{627E4D21-DAAA-4A5F-AD82-2A14ED964AF4}" name="DELIVERY_NO_SLA" dataDxfId="72"/>
    <tableColumn id="33" xr3:uid="{52348772-A251-4021-BB4C-F0AEEFB18A87}" name="DELIVERY_REG" dataDxfId="71"/>
    <tableColumn id="34" xr3:uid="{A9FED200-145E-4ACC-ADDB-4638E76E9597}" name="DELIVERY_REG_ONTIME" dataDxfId="70"/>
    <tableColumn id="35" xr3:uid="{CA1D1157-D513-4AEF-B9B3-D3DD1415EE1B}" name="DELIVERY_REG_LATE" dataDxfId="69"/>
    <tableColumn id="36" xr3:uid="{6B664AE3-60D5-498C-99D5-FB932A0E8D17}" name="DELIVERY_REG_NO_SLA" dataDxfId="68"/>
    <tableColumn id="37" xr3:uid="{4B4C20A2-06EE-44FA-995B-F1639346E094}" name="TOTAL_MENIT_REG" dataDxfId="67"/>
    <tableColumn id="38" xr3:uid="{77C665BF-B18B-4DFC-B163-BC7A93A79B76}" name="SLA_REG" dataDxfId="66"/>
    <tableColumn id="39" xr3:uid="{5364F027-AAB9-4629-A9AA-AD420F764C55}" name="DELIVERY_TAGI" dataDxfId="65"/>
    <tableColumn id="40" xr3:uid="{37323F14-C22A-4FCE-A419-F5240C51235C}" name="DELIVERY_TAGI_ONTIME" dataDxfId="64"/>
    <tableColumn id="41" xr3:uid="{3D5F22EC-5CD7-4333-A87F-B92216CD0977}" name="DELIVERY_TAGI_LATE" dataDxfId="63"/>
    <tableColumn id="42" xr3:uid="{C5FFC480-5700-4804-B9CE-47FAD20428BD}" name="DELIVERY_TAGI_NO_SLA" dataDxfId="62"/>
    <tableColumn id="43" xr3:uid="{346E0423-CB96-4942-AC00-EB206D3ED981}" name="TOTAL_MENIT_TAGI" dataDxfId="61"/>
    <tableColumn id="44" xr3:uid="{D8CB21E9-7AC9-4879-8AD0-F82274597440}" name="SLA_TAGI" dataDxfId="60"/>
    <tableColumn id="45" xr3:uid="{D668EC50-DD4B-457C-8E86-1F3ACCBBC357}" name="JUMLAH_SHIPMENT_TUNDA" dataDxfId="59"/>
    <tableColumn id="46" xr3:uid="{FA72A70A-8CA0-45E7-93FE-836935B5962A}" name="JUMLAH_DELIVERY_EXC_TUNDA" dataDxfId="58"/>
    <tableColumn id="47" xr3:uid="{58E17F5B-9409-40B4-887F-99F707B62457}" name="DELIVERY_ONTIME_EXC_TUNDA" dataDxfId="57"/>
    <tableColumn id="48" xr3:uid="{ED13E348-0114-4899-855C-1659D709306F}" name="DELIVERY_LATE_EXC_TUNDA" dataDxfId="56"/>
    <tableColumn id="49" xr3:uid="{2F959C0A-68C0-4740-84A5-64EDFA41CCD8}" name="DELIVERY_NO_SLA_EXC_TUNDA" dataDxfId="55"/>
    <tableColumn id="50" xr3:uid="{6B4968A8-2B2C-485C-B9C1-A8B5ACE7CE92}" name="DELIVERY_REG_EXC_TUNDA" dataDxfId="54"/>
    <tableColumn id="51" xr3:uid="{3B1A1906-A2D1-41E5-A914-8AC4FD6E2762}" name="DELIVERY_REG_NO_SLA_EXC_TUNDA" dataDxfId="53"/>
    <tableColumn id="52" xr3:uid="{919FF578-51B7-4A5E-B17F-0EB2377B35B5}" name="TOTAL_MENIT_REG_EXC_TUNDA" dataDxfId="52"/>
    <tableColumn id="53" xr3:uid="{66C53316-369F-4F49-A2F7-38A826328A6C}" name="SLA_REG_EXC_TUNDA" dataDxfId="5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78BC08-E4AE-4A0F-B75B-0F2179124D05}" name="Table6" displayName="Table6" ref="A1:G68" totalsRowShown="0" tableBorderDxfId="50">
  <sortState xmlns:xlrd2="http://schemas.microsoft.com/office/spreadsheetml/2017/richdata2" ref="A2:G67">
    <sortCondition ref="A1:A67"/>
  </sortState>
  <tableColumns count="7">
    <tableColumn id="1" xr3:uid="{51D6EA10-934D-40C1-AA15-D8ED4EA175B1}" name="Kode Toko"/>
    <tableColumn id="2" xr3:uid="{FE530693-9309-4705-841A-A32542E8B3C6}" name="Nama Toko"/>
    <tableColumn id="3" xr3:uid="{2B026B22-D277-4D9F-B3EA-85D023DDA621}" name="Cabang"/>
    <tableColumn id="4" xr3:uid="{92EEC02D-F509-4C97-976D-42B7C1CB86BA}" name="% OOS TAG I" dataDxfId="49" dataCellStyle="Percent"/>
    <tableColumn id="5" xr3:uid="{01529041-845C-4166-BA71-17ECD2BD4946}" name="% OOS OFMB" dataDxfId="48" dataCellStyle="Percent"/>
    <tableColumn id="7" xr3:uid="{F21D4660-BB52-417D-90AF-D515E3BF1449}" name="% OOS TAG K" dataDxfId="22" dataCellStyle="Percent"/>
    <tableColumn id="6" xr3:uid="{09D19DC4-CBA7-47D2-A5B0-54B6B741C71E}" name="% OOS ALL" dataDxfId="47" dataCellStyle="Percen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8089E5-B2EA-4935-A0BD-D5B61124B165}" name="Table5" displayName="Table5" ref="A1:U68" totalsRowShown="0" dataDxfId="0">
  <sortState xmlns:xlrd2="http://schemas.microsoft.com/office/spreadsheetml/2017/richdata2" ref="A2:U66">
    <sortCondition ref="A1:A66"/>
  </sortState>
  <tableColumns count="21">
    <tableColumn id="1" xr3:uid="{5DFE55CF-0552-4181-93F7-E6C18BAA8D8F}" name="No" dataDxfId="21"/>
    <tableColumn id="2" xr3:uid="{3E20D41C-EF1E-45E0-8223-00B46C501887}" name="Store Code" dataDxfId="20"/>
    <tableColumn id="3" xr3:uid="{056D75D0-3CF7-4F52-B2EF-5D368E85AC25}" name="Store Name" dataDxfId="19"/>
    <tableColumn id="4" xr3:uid="{9C49F0E2-0225-442F-8EB4-B956F89EBCAE}" name="Item Aktif" dataDxfId="18"/>
    <tableColumn id="5" xr3:uid="{67645FCC-9AF4-4141-870D-3006D995C0E9}" name="Item On Stock Total" dataDxfId="17"/>
    <tableColumn id="6" xr3:uid="{D0BCF6FA-94E6-454F-9048-A0C735918BC4}" name="Item On Stock (OH &gt; 0)" dataDxfId="16"/>
    <tableColumn id="7" xr3:uid="{AA2E14A2-3844-4DFF-8D7E-0F6F07872900}" name="Item No Stock (OOS)" dataDxfId="15"/>
    <tableColumn id="8" xr3:uid="{8EE92B3E-582A-440B-8182-7D291F84546D}" name="Item No Stock (OH &gt; 0)" dataDxfId="14"/>
    <tableColumn id="9" xr3:uid="{B2401C5E-1017-4CB9-BF69-934E4C49A6A3}" name="Inventory Value" dataDxfId="13"/>
    <tableColumn id="10" xr3:uid="{7B38DCB2-C9A7-4BF1-B185-B34636C52D08}" name="MPKM Value" dataDxfId="12"/>
    <tableColumn id="11" xr3:uid="{9B9172CF-C816-4F65-965C-B9E6B1E32A8E}" name="PKM Value" dataDxfId="11"/>
    <tableColumn id="12" xr3:uid="{720AE8F5-DD96-4073-9352-CDD746A3DE15}" name="N+ Value" dataDxfId="10"/>
    <tableColumn id="13" xr3:uid="{A218134D-3627-4725-A425-E73E644AAEA6}" name="PKM Exist Value" dataDxfId="9"/>
    <tableColumn id="14" xr3:uid="{B81AB428-D292-4426-800B-F46D68B44A88}" name="GAP Value (Inv. vs PKM Exist)" dataDxfId="8"/>
    <tableColumn id="15" xr3:uid="{C3FAD858-F951-4DA1-8121-FAE8A2D092FB}" name="DSI PKM" dataDxfId="7"/>
    <tableColumn id="16" xr3:uid="{B5A1E05D-8302-480C-83AC-4AB057291FB2}" name="DSI OH" dataDxfId="6"/>
    <tableColumn id="17" xr3:uid="{72BEB72E-F004-4F29-B020-53F1C2025DA5}" name="OOS On Stock" dataDxfId="5"/>
    <tableColumn id="18" xr3:uid="{E99E7340-76B3-47EB-90F6-00CC1B6597C0}" name="OOS % On Stock" dataDxfId="4" dataCellStyle="Percent"/>
    <tableColumn id="19" xr3:uid="{EA23BD55-6F5C-4BC9-BB34-B7C1FD98C3F7}" name="MAT % On Stock" dataDxfId="3" dataCellStyle="Percent"/>
    <tableColumn id="20" xr3:uid="{F9712C7B-C49D-430B-80F3-418916C86B70}" name="MAT % No Stock" dataDxfId="2" dataCellStyle="Percent"/>
    <tableColumn id="21" xr3:uid="{7325AAD4-925D-4972-AB1A-36AD5A0B117E}" name="MAT % Beanspot" dataDxfId="1" dataCellStyle="Perc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AAD9A-87CF-464E-9AEE-81E09D03F7DC}" name="Table2" displayName="Table2" ref="A1:D68" totalsRowShown="0" headerRowDxfId="46" headerRowBorderDxfId="45" tableBorderDxfId="44" totalsRowBorderDxfId="43">
  <tableColumns count="4">
    <tableColumn id="1" xr3:uid="{C4F6878A-25B2-4CFC-B77A-3A862FAD67F3}" name="No" dataDxfId="42"/>
    <tableColumn id="2" xr3:uid="{983E8653-3EF8-493D-A4B6-8B0BF8BF58D4}" name="Kode Toko" dataDxfId="41"/>
    <tableColumn id="3" xr3:uid="{EF76C6B6-DF5B-4A82-8173-B49C9077F455}" name="Nama Toko" dataDxfId="40"/>
    <tableColumn id="4" xr3:uid="{10C483B0-48AF-4F6D-BFB2-DE2F696C1A95}" name="MAT Exc Beanspot" dataDxfId="3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59FB07-AF02-47F8-9484-D29300EA569A}" name="Table25" displayName="Table25" ref="A1:D68" totalsRowShown="0" headerRowDxfId="38" headerRowBorderDxfId="37" tableBorderDxfId="36" totalsRowBorderDxfId="35">
  <tableColumns count="4">
    <tableColumn id="1" xr3:uid="{D2F641AF-A909-49A2-8B86-1F71D17DA498}" name="No" dataDxfId="34"/>
    <tableColumn id="2" xr3:uid="{3E6CA566-17A8-4A5D-AE52-62D3B514DAE3}" name="Kode Toko" dataDxfId="33"/>
    <tableColumn id="3" xr3:uid="{0147D53B-35D2-4ED0-A134-E44E7043036C}" name="Nama Toko" dataDxfId="32"/>
    <tableColumn id="4" xr3:uid="{53D2DAD7-7E55-42C4-A504-C2CD1DBF36ED}" name="MAT All" dataDxfId="3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C66F34-E46C-439A-94D4-2773E68B5B78}" name="Table1" displayName="Table1" ref="A1:F68" totalsRowShown="0" headerRowDxfId="30" dataDxfId="29">
  <autoFilter ref="A1:F68" xr:uid="{19C66F34-E46C-439A-94D4-2773E68B5B78}"/>
  <tableColumns count="6">
    <tableColumn id="1" xr3:uid="{52AD9FF1-3719-498C-9555-E1389C68B5C1}" name="Store Code" dataDxfId="28"/>
    <tableColumn id="2" xr3:uid="{4FD6E607-E5CF-4C34-8163-2D8255490BCA}" name="Store Name" dataDxfId="27"/>
    <tableColumn id="3" xr3:uid="{A2B980D7-5B7D-4E9E-A32B-433F1A2EEB07}" name="Branch Code" dataDxfId="26"/>
    <tableColumn id="4" xr3:uid="{C85FE557-C275-4976-9785-F21DA253927D}" name="Branch Name" dataDxfId="25"/>
    <tableColumn id="5" xr3:uid="{A7BE660A-83CE-4B92-8516-C9CDCD6CD652}" name="Opening Date" dataDxfId="24"/>
    <tableColumn id="6" xr3:uid="{748EDE4A-FD95-4D0A-890E-3B8C9B12CE3D}" name="Remark" dataDxfId="2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FB65-AEF9-42AE-9FE2-9A2464F48ABA}">
  <sheetPr>
    <tabColor theme="8" tint="0.59999389629810485"/>
  </sheetPr>
  <dimension ref="B3:R72"/>
  <sheetViews>
    <sheetView showGridLines="0" tabSelected="1" zoomScale="71" workbookViewId="0">
      <selection activeCell="K16" sqref="K16"/>
    </sheetView>
  </sheetViews>
  <sheetFormatPr defaultRowHeight="14.5" x14ac:dyDescent="0.35"/>
  <cols>
    <col min="1" max="1" width="4.36328125" customWidth="1"/>
    <col min="2" max="2" width="22.453125" customWidth="1"/>
    <col min="3" max="3" width="11.7265625" bestFit="1" customWidth="1"/>
    <col min="4" max="4" width="23" bestFit="1" customWidth="1"/>
    <col min="5" max="5" width="8.54296875" customWidth="1"/>
    <col min="6" max="6" width="12.6328125" bestFit="1" customWidth="1"/>
    <col min="7" max="7" width="10.08984375" bestFit="1" customWidth="1"/>
    <col min="8" max="8" width="5.81640625" customWidth="1"/>
    <col min="9" max="9" width="9.36328125" customWidth="1"/>
    <col min="10" max="10" width="7.6328125" customWidth="1"/>
    <col min="11" max="11" width="14.7265625" bestFit="1" customWidth="1"/>
    <col min="12" max="12" width="9.54296875" customWidth="1"/>
    <col min="13" max="13" width="11.36328125" customWidth="1"/>
    <col min="14" max="14" width="13.90625" bestFit="1" customWidth="1"/>
    <col min="15" max="15" width="12.6328125" bestFit="1" customWidth="1"/>
    <col min="16" max="16" width="22.26953125" bestFit="1" customWidth="1"/>
    <col min="17" max="17" width="6.90625" bestFit="1" customWidth="1"/>
    <col min="18" max="18" width="9" bestFit="1" customWidth="1"/>
    <col min="19" max="19" width="4.36328125" customWidth="1"/>
  </cols>
  <sheetData>
    <row r="3" spans="2:18" x14ac:dyDescent="0.35">
      <c r="B3" s="5" t="s">
        <v>292</v>
      </c>
    </row>
    <row r="4" spans="2:18" x14ac:dyDescent="0.35">
      <c r="B4" s="39" t="s">
        <v>2</v>
      </c>
      <c r="C4" s="39" t="s">
        <v>0</v>
      </c>
      <c r="D4" s="39" t="s">
        <v>1</v>
      </c>
      <c r="E4" s="39" t="s">
        <v>3</v>
      </c>
      <c r="F4" s="39"/>
      <c r="G4" s="39"/>
      <c r="H4" s="39"/>
      <c r="I4" s="39"/>
      <c r="J4" s="39" t="s">
        <v>293</v>
      </c>
      <c r="K4" s="39"/>
      <c r="L4" s="39" t="s">
        <v>294</v>
      </c>
      <c r="M4" s="39"/>
      <c r="N4" s="39" t="s">
        <v>295</v>
      </c>
      <c r="O4" s="39"/>
      <c r="P4" s="39"/>
      <c r="Q4" s="39"/>
      <c r="R4" s="39" t="s">
        <v>192</v>
      </c>
    </row>
    <row r="5" spans="2:18" x14ac:dyDescent="0.35">
      <c r="B5" s="39"/>
      <c r="C5" s="39"/>
      <c r="D5" s="39"/>
      <c r="E5" s="4" t="s">
        <v>147</v>
      </c>
      <c r="F5" s="4" t="s">
        <v>148</v>
      </c>
      <c r="G5" s="4" t="s">
        <v>149</v>
      </c>
      <c r="H5" s="4" t="s">
        <v>150</v>
      </c>
      <c r="I5" s="4" t="s">
        <v>194</v>
      </c>
      <c r="J5" s="4" t="s">
        <v>151</v>
      </c>
      <c r="K5" s="4" t="s">
        <v>152</v>
      </c>
      <c r="L5" s="4" t="s">
        <v>145</v>
      </c>
      <c r="M5" s="4" t="s">
        <v>146</v>
      </c>
      <c r="N5" s="4" t="s">
        <v>153</v>
      </c>
      <c r="O5" s="4" t="s">
        <v>154</v>
      </c>
      <c r="P5" s="4" t="s">
        <v>255</v>
      </c>
      <c r="Q5" s="4" t="s">
        <v>155</v>
      </c>
      <c r="R5" s="39"/>
    </row>
    <row r="6" spans="2:18" x14ac:dyDescent="0.35">
      <c r="B6" s="2" t="s">
        <v>28</v>
      </c>
      <c r="C6" s="2" t="s">
        <v>73</v>
      </c>
      <c r="D6" s="2" t="s">
        <v>74</v>
      </c>
      <c r="E6" s="8">
        <f>VLOOKUP(C6,Table8[],6,FALSE)</f>
        <v>8</v>
      </c>
      <c r="F6" s="24">
        <f>VLOOKUP(C6,Table8[],7,FALSE)</f>
        <v>624421096.45999968</v>
      </c>
      <c r="G6" s="24">
        <f>VLOOKUP(C6,Table8[],11,FALSE)</f>
        <v>78052637.05749996</v>
      </c>
      <c r="H6" s="24">
        <f>VLOOKUP(C6,Table8[],12,FALSE)</f>
        <v>702.375</v>
      </c>
      <c r="I6" s="29">
        <f>VLOOKUP(C6,Table8[],8,FALSE)</f>
        <v>5619</v>
      </c>
      <c r="J6" s="44">
        <f>VLOOKUP(C6,Table25[[Kode Toko]:[MAT All]],3,FALSE)</f>
        <v>4.4549373845206325E-2</v>
      </c>
      <c r="K6" s="45">
        <f>VLOOKUP(C6,Table2[[#All],[Kode Toko]:[MAT Exc Beanspot]],3,FALSE)</f>
        <v>2.7509751591049066E-2</v>
      </c>
      <c r="L6" s="31">
        <f>VLOOKUP(C6,Table6[],4,FALSE)</f>
        <v>8.199521694567817E-2</v>
      </c>
      <c r="M6" s="3">
        <f>VLOOKUP(C6,Table6[],5,FALSE)</f>
        <v>3.4470703398126135E-2</v>
      </c>
      <c r="N6" s="30">
        <f>VLOOKUP(C6,Table5[[Store Code]:[MAT % Beanspot]],8,FALSE)</f>
        <v>1376062229.76</v>
      </c>
      <c r="O6" s="24">
        <f>VLOOKUP(C6,Table5[[Store Code]:[MAT % Beanspot]],10,FALSE)</f>
        <v>1167628069.1300001</v>
      </c>
      <c r="P6" s="24">
        <f>VLOOKUP(C6,Table5[[Store Code]:[MAT % Beanspot]],13,FALSE)</f>
        <v>208434160.62999991</v>
      </c>
      <c r="Q6" s="23">
        <f>VLOOKUP(C6,Table5[[Store Code]:[MAT % Beanspot]],15,FALSE)</f>
        <v>17.81603763764614</v>
      </c>
      <c r="R6" s="24" t="str">
        <f>VLOOKUP(C6,Table1[],6,FALSE)</f>
        <v>Invent</v>
      </c>
    </row>
    <row r="7" spans="2:18" x14ac:dyDescent="0.35">
      <c r="B7" s="2" t="s">
        <v>28</v>
      </c>
      <c r="C7" s="2" t="s">
        <v>53</v>
      </c>
      <c r="D7" s="2" t="s">
        <v>54</v>
      </c>
      <c r="E7" s="8">
        <f>VLOOKUP(C7,Table8[],6,FALSE)</f>
        <v>8</v>
      </c>
      <c r="F7" s="24">
        <f>VLOOKUP(C7,Table8[],7,FALSE)</f>
        <v>502164820.26999962</v>
      </c>
      <c r="G7" s="24">
        <f>VLOOKUP(C7,Table8[],11,FALSE)</f>
        <v>62770602.533749953</v>
      </c>
      <c r="H7" s="24">
        <f>VLOOKUP(C7,Table8[],12,FALSE)</f>
        <v>557.875</v>
      </c>
      <c r="I7" s="29">
        <f>VLOOKUP(C7,Table8[],8,FALSE)</f>
        <v>4463</v>
      </c>
      <c r="J7" s="44">
        <f>VLOOKUP(C7,Table25[[Kode Toko]:[MAT All]],3,FALSE)</f>
        <v>4.6882919412062851E-2</v>
      </c>
      <c r="K7" s="45">
        <f>VLOOKUP(C7,Table2[[#All],[Kode Toko]:[MAT Exc Beanspot]],3,FALSE)</f>
        <v>2.8890015205271159E-2</v>
      </c>
      <c r="L7" s="31">
        <f>VLOOKUP(C7,Table6[],4,FALSE)</f>
        <v>8.6538461538461536E-2</v>
      </c>
      <c r="M7" s="3">
        <f>VLOOKUP(C7,Table6[],5,FALSE)</f>
        <v>2.1770126934446184E-2</v>
      </c>
      <c r="N7" s="30">
        <f>VLOOKUP(C7,Table5[[Store Code]:[MAT % Beanspot]],8,FALSE)</f>
        <v>1169395628.1800001</v>
      </c>
      <c r="O7" s="24">
        <f>VLOOKUP(C7,Table5[[Store Code]:[MAT % Beanspot]],10,FALSE)</f>
        <v>933898704.30999994</v>
      </c>
      <c r="P7" s="24">
        <f>VLOOKUP(C7,Table5[[Store Code]:[MAT % Beanspot]],13,FALSE)</f>
        <v>235496923.87000009</v>
      </c>
      <c r="Q7" s="23">
        <f>VLOOKUP(C7,Table5[[Store Code]:[MAT % Beanspot]],15,FALSE)</f>
        <v>18.60487999883701</v>
      </c>
      <c r="R7" s="24" t="str">
        <f>VLOOKUP(C7,Table1[],6,FALSE)</f>
        <v>Invent</v>
      </c>
    </row>
    <row r="8" spans="2:18" x14ac:dyDescent="0.35">
      <c r="B8" s="2" t="s">
        <v>15</v>
      </c>
      <c r="C8" s="2" t="s">
        <v>97</v>
      </c>
      <c r="D8" s="2" t="s">
        <v>98</v>
      </c>
      <c r="E8" s="8">
        <f>VLOOKUP(C8,Table8[],6,FALSE)</f>
        <v>8</v>
      </c>
      <c r="F8" s="24">
        <f>VLOOKUP(C8,Table8[],7,FALSE)</f>
        <v>502864257.87999928</v>
      </c>
      <c r="G8" s="24">
        <f>VLOOKUP(C8,Table8[],11,FALSE)</f>
        <v>62858032.234999917</v>
      </c>
      <c r="H8" s="24">
        <f>VLOOKUP(C8,Table8[],12,FALSE)</f>
        <v>540.5</v>
      </c>
      <c r="I8" s="29">
        <f>VLOOKUP(C8,Table8[],8,FALSE)</f>
        <v>4324</v>
      </c>
      <c r="J8" s="44">
        <f>VLOOKUP(C8,Table25[[Kode Toko]:[MAT All]],3,FALSE)</f>
        <v>4.1645111226073464E-2</v>
      </c>
      <c r="K8" s="45">
        <f>VLOOKUP(C8,Table2[[#All],[Kode Toko]:[MAT Exc Beanspot]],3,FALSE)</f>
        <v>2.353854112778065E-2</v>
      </c>
      <c r="L8" s="31">
        <f>VLOOKUP(C8,Table6[],4,FALSE)</f>
        <v>5.4451534487997569E-2</v>
      </c>
      <c r="M8" s="3">
        <f>VLOOKUP(C8,Table6[],5,FALSE)</f>
        <v>1.1381505054286783E-2</v>
      </c>
      <c r="N8" s="30">
        <f>VLOOKUP(C8,Table5[[Store Code]:[MAT % Beanspot]],8,FALSE)</f>
        <v>1153523785.96</v>
      </c>
      <c r="O8" s="24">
        <f>VLOOKUP(C8,Table5[[Store Code]:[MAT % Beanspot]],10,FALSE)</f>
        <v>869817191.69000006</v>
      </c>
      <c r="P8" s="24">
        <f>VLOOKUP(C8,Table5[[Store Code]:[MAT % Beanspot]],13,FALSE)</f>
        <v>283706594.26999998</v>
      </c>
      <c r="Q8" s="23">
        <f>VLOOKUP(C8,Table5[[Store Code]:[MAT % Beanspot]],15,FALSE)</f>
        <v>18.100691965554649</v>
      </c>
      <c r="R8" s="24" t="str">
        <f>VLOOKUP(C8,Table1[],6,FALSE)</f>
        <v>Invent</v>
      </c>
    </row>
    <row r="9" spans="2:18" x14ac:dyDescent="0.35">
      <c r="B9" s="2" t="s">
        <v>15</v>
      </c>
      <c r="C9" s="2" t="s">
        <v>119</v>
      </c>
      <c r="D9" s="2" t="s">
        <v>120</v>
      </c>
      <c r="E9" s="8">
        <f>VLOOKUP(C9,Table8[],6,FALSE)</f>
        <v>8</v>
      </c>
      <c r="F9" s="24">
        <f>VLOOKUP(C9,Table8[],7,FALSE)</f>
        <v>508090251.25999892</v>
      </c>
      <c r="G9" s="24">
        <f>VLOOKUP(C9,Table8[],11,FALSE)</f>
        <v>63511281.407499857</v>
      </c>
      <c r="H9" s="24">
        <f>VLOOKUP(C9,Table8[],12,FALSE)</f>
        <v>572.125</v>
      </c>
      <c r="I9" s="29">
        <f>VLOOKUP(C9,Table8[],8,FALSE)</f>
        <v>4577</v>
      </c>
      <c r="J9" s="44">
        <f>VLOOKUP(C9,Table25[[Kode Toko]:[MAT All]],3,FALSE)</f>
        <v>4.2703757930697903E-2</v>
      </c>
      <c r="K9" s="45">
        <f>VLOOKUP(C9,Table2[[#All],[Kode Toko]:[MAT Exc Beanspot]],3,FALSE)</f>
        <v>2.6842362127867253E-2</v>
      </c>
      <c r="L9" s="31">
        <f>VLOOKUP(C9,Table6[],4,FALSE)</f>
        <v>6.3436266291709481E-2</v>
      </c>
      <c r="M9" s="3">
        <f>VLOOKUP(C9,Table6[],5,FALSE)</f>
        <v>1.7283448556323709E-2</v>
      </c>
      <c r="N9" s="30">
        <f>VLOOKUP(C9,Table5[[Store Code]:[MAT % Beanspot]],8,FALSE)</f>
        <v>1140794752.9100001</v>
      </c>
      <c r="O9" s="24">
        <f>VLOOKUP(C9,Table5[[Store Code]:[MAT % Beanspot]],10,FALSE)</f>
        <v>891544070.45000005</v>
      </c>
      <c r="P9" s="24">
        <f>VLOOKUP(C9,Table5[[Store Code]:[MAT % Beanspot]],13,FALSE)</f>
        <v>249250682.46000001</v>
      </c>
      <c r="Q9" s="23">
        <f>VLOOKUP(C9,Table5[[Store Code]:[MAT % Beanspot]],15,FALSE)</f>
        <v>17.763969755477309</v>
      </c>
      <c r="R9" s="24" t="str">
        <f>VLOOKUP(C9,Table1[],6,FALSE)</f>
        <v>Invent</v>
      </c>
    </row>
    <row r="10" spans="2:18" x14ac:dyDescent="0.35">
      <c r="B10" s="2" t="s">
        <v>15</v>
      </c>
      <c r="C10" s="2" t="s">
        <v>63</v>
      </c>
      <c r="D10" s="2" t="s">
        <v>64</v>
      </c>
      <c r="E10" s="8">
        <f>VLOOKUP(C10,Table8[],6,FALSE)</f>
        <v>8</v>
      </c>
      <c r="F10" s="24">
        <f>VLOOKUP(C10,Table8[],7,FALSE)</f>
        <v>415212424.34999931</v>
      </c>
      <c r="G10" s="24">
        <f>VLOOKUP(C10,Table8[],11,FALSE)</f>
        <v>51901553.043749914</v>
      </c>
      <c r="H10" s="24">
        <f>VLOOKUP(C10,Table8[],12,FALSE)</f>
        <v>457</v>
      </c>
      <c r="I10" s="29">
        <f>VLOOKUP(C10,Table8[],8,FALSE)</f>
        <v>3656</v>
      </c>
      <c r="J10" s="44">
        <f>VLOOKUP(C10,Table25[[Kode Toko]:[MAT All]],3,FALSE)</f>
        <v>5.7876818322500773E-2</v>
      </c>
      <c r="K10" s="45">
        <f>VLOOKUP(C10,Table2[[#All],[Kode Toko]:[MAT Exc Beanspot]],3,FALSE)</f>
        <v>3.3426183844011144E-2</v>
      </c>
      <c r="L10" s="31">
        <f>VLOOKUP(C10,Table6[],4,FALSE)</f>
        <v>5.2413203978278117E-2</v>
      </c>
      <c r="M10" s="3">
        <f>VLOOKUP(C10,Table6[],5,FALSE)</f>
        <v>1.3894579996274912E-2</v>
      </c>
      <c r="N10" s="30">
        <f>VLOOKUP(C10,Table5[[Store Code]:[MAT % Beanspot]],8,FALSE)</f>
        <v>1133941396.71</v>
      </c>
      <c r="O10" s="24">
        <f>VLOOKUP(C10,Table5[[Store Code]:[MAT % Beanspot]],10,FALSE)</f>
        <v>843314145.5</v>
      </c>
      <c r="P10" s="24">
        <f>VLOOKUP(C10,Table5[[Store Code]:[MAT % Beanspot]],13,FALSE)</f>
        <v>290627251.20999998</v>
      </c>
      <c r="Q10" s="23">
        <f>VLOOKUP(C10,Table5[[Store Code]:[MAT % Beanspot]],15,FALSE)</f>
        <v>21.861380284415201</v>
      </c>
      <c r="R10" s="24" t="str">
        <f>VLOOKUP(C10,Table1[],6,FALSE)</f>
        <v>Invent</v>
      </c>
    </row>
    <row r="11" spans="2:18" x14ac:dyDescent="0.35">
      <c r="B11" s="2" t="s">
        <v>45</v>
      </c>
      <c r="C11" s="2" t="s">
        <v>83</v>
      </c>
      <c r="D11" s="2" t="s">
        <v>84</v>
      </c>
      <c r="E11" s="8">
        <f>VLOOKUP(C11,Table8[],6,FALSE)</f>
        <v>8</v>
      </c>
      <c r="F11" s="24">
        <f>VLOOKUP(C11,Table8[],7,FALSE)</f>
        <v>540863229.9399991</v>
      </c>
      <c r="G11" s="24">
        <f>VLOOKUP(C11,Table8[],11,FALSE)</f>
        <v>67607903.742499888</v>
      </c>
      <c r="H11" s="24">
        <f>VLOOKUP(C11,Table8[],12,FALSE)</f>
        <v>559</v>
      </c>
      <c r="I11" s="29">
        <f>VLOOKUP(C11,Table8[],8,FALSE)</f>
        <v>4472</v>
      </c>
      <c r="J11" s="44">
        <f>VLOOKUP(C11,Table25[[Kode Toko]:[MAT All]],3,FALSE)</f>
        <v>5.4279222418581165E-2</v>
      </c>
      <c r="K11" s="45">
        <f>VLOOKUP(C11,Table2[[#All],[Kode Toko]:[MAT Exc Beanspot]],3,FALSE)</f>
        <v>3.332491795001262E-2</v>
      </c>
      <c r="L11" s="31">
        <f>VLOOKUP(C11,Table6[],4,FALSE)</f>
        <v>6.0925632479099504E-2</v>
      </c>
      <c r="M11" s="3">
        <f>VLOOKUP(C11,Table6[],5,FALSE)</f>
        <v>1.4607988165680473E-2</v>
      </c>
      <c r="N11" s="30">
        <f>VLOOKUP(C11,Table5[[Store Code]:[MAT % Beanspot]],8,FALSE)</f>
        <v>1117588610.76</v>
      </c>
      <c r="O11" s="24">
        <f>VLOOKUP(C11,Table5[[Store Code]:[MAT % Beanspot]],10,FALSE)</f>
        <v>999958173.45000005</v>
      </c>
      <c r="P11" s="24">
        <f>VLOOKUP(C11,Table5[[Store Code]:[MAT % Beanspot]],13,FALSE)</f>
        <v>117630437.3099999</v>
      </c>
      <c r="Q11" s="23">
        <f>VLOOKUP(C11,Table5[[Store Code]:[MAT % Beanspot]],15,FALSE)</f>
        <v>16.605912323936529</v>
      </c>
      <c r="R11" s="24" t="str">
        <f>VLOOKUP(C11,Table1[],6,FALSE)</f>
        <v>Invent</v>
      </c>
    </row>
    <row r="12" spans="2:18" x14ac:dyDescent="0.35">
      <c r="B12" s="2" t="s">
        <v>15</v>
      </c>
      <c r="C12" s="2" t="s">
        <v>93</v>
      </c>
      <c r="D12" s="2" t="s">
        <v>94</v>
      </c>
      <c r="E12" s="8">
        <f>VLOOKUP(C12,Table8[],6,FALSE)</f>
        <v>8</v>
      </c>
      <c r="F12" s="24">
        <f>VLOOKUP(C12,Table8[],7,FALSE)</f>
        <v>277387393.48999947</v>
      </c>
      <c r="G12" s="24">
        <f>VLOOKUP(C12,Table8[],11,FALSE)</f>
        <v>34673424.186249942</v>
      </c>
      <c r="H12" s="24">
        <f>VLOOKUP(C12,Table8[],12,FALSE)</f>
        <v>350.5</v>
      </c>
      <c r="I12" s="29">
        <f>VLOOKUP(C12,Table8[],8,FALSE)</f>
        <v>2804</v>
      </c>
      <c r="J12" s="44">
        <f>VLOOKUP(C12,Table25[[Kode Toko]:[MAT All]],3,FALSE)</f>
        <v>6.5252854812398037E-2</v>
      </c>
      <c r="K12" s="45">
        <f>VLOOKUP(C12,Table2[[#All],[Kode Toko]:[MAT Exc Beanspot]],3,FALSE)</f>
        <v>2.936378466557912E-2</v>
      </c>
      <c r="L12" s="31">
        <f>VLOOKUP(C12,Table6[],4,FALSE)</f>
        <v>5.0245296242385037E-2</v>
      </c>
      <c r="M12" s="3">
        <f>VLOOKUP(C12,Table6[],5,FALSE)</f>
        <v>2.7027027027027029E-2</v>
      </c>
      <c r="N12" s="30">
        <f>VLOOKUP(C12,Table5[[Store Code]:[MAT % Beanspot]],8,FALSE)</f>
        <v>1072947553.7</v>
      </c>
      <c r="O12" s="24">
        <f>VLOOKUP(C12,Table5[[Store Code]:[MAT % Beanspot]],10,FALSE)</f>
        <v>837437672</v>
      </c>
      <c r="P12" s="24">
        <f>VLOOKUP(C12,Table5[[Store Code]:[MAT % Beanspot]],13,FALSE)</f>
        <v>235509881.69999999</v>
      </c>
      <c r="Q12" s="23">
        <f>VLOOKUP(C12,Table5[[Store Code]:[MAT % Beanspot]],15,FALSE)</f>
        <v>30.921922278905061</v>
      </c>
      <c r="R12" s="24" t="str">
        <f>VLOOKUP(C12,Table1[],6,FALSE)</f>
        <v>Invent</v>
      </c>
    </row>
    <row r="13" spans="2:18" x14ac:dyDescent="0.35">
      <c r="B13" s="2" t="s">
        <v>45</v>
      </c>
      <c r="C13" s="2" t="s">
        <v>95</v>
      </c>
      <c r="D13" s="2" t="s">
        <v>96</v>
      </c>
      <c r="E13" s="8">
        <f>VLOOKUP(C13,Table8[],6,FALSE)</f>
        <v>8</v>
      </c>
      <c r="F13" s="24">
        <f>VLOOKUP(C13,Table8[],7,FALSE)</f>
        <v>465820102.23999977</v>
      </c>
      <c r="G13" s="24">
        <f>VLOOKUP(C13,Table8[],11,FALSE)</f>
        <v>58227512.779999971</v>
      </c>
      <c r="H13" s="24">
        <f>VLOOKUP(C13,Table8[],12,FALSE)</f>
        <v>506.375</v>
      </c>
      <c r="I13" s="29">
        <f>VLOOKUP(C13,Table8[],8,FALSE)</f>
        <v>4051</v>
      </c>
      <c r="J13" s="44">
        <f>VLOOKUP(C13,Table25[[Kode Toko]:[MAT All]],3,FALSE)</f>
        <v>5.1054384017758046E-2</v>
      </c>
      <c r="K13" s="45">
        <f>VLOOKUP(C13,Table2[[#All],[Kode Toko]:[MAT Exc Beanspot]],3,FALSE)</f>
        <v>2.9134295227524972E-2</v>
      </c>
      <c r="L13" s="31">
        <f>VLOOKUP(C13,Table6[],4,FALSE)</f>
        <v>4.51350757742148E-2</v>
      </c>
      <c r="M13" s="3">
        <f>VLOOKUP(C13,Table6[],5,FALSE)</f>
        <v>2.2532626427406201E-2</v>
      </c>
      <c r="N13" s="30">
        <f>VLOOKUP(C13,Table5[[Store Code]:[MAT % Beanspot]],8,FALSE)</f>
        <v>1061816497.33</v>
      </c>
      <c r="O13" s="24">
        <f>VLOOKUP(C13,Table5[[Store Code]:[MAT % Beanspot]],10,FALSE)</f>
        <v>926384190.98000002</v>
      </c>
      <c r="P13" s="24">
        <f>VLOOKUP(C13,Table5[[Store Code]:[MAT % Beanspot]],13,FALSE)</f>
        <v>135432306.34999999</v>
      </c>
      <c r="Q13" s="23">
        <f>VLOOKUP(C13,Table5[[Store Code]:[MAT % Beanspot]],15,FALSE)</f>
        <v>18.033661585774251</v>
      </c>
      <c r="R13" s="24" t="str">
        <f>VLOOKUP(C13,Table1[],6,FALSE)</f>
        <v>Invent</v>
      </c>
    </row>
    <row r="14" spans="2:18" x14ac:dyDescent="0.35">
      <c r="B14" s="2" t="s">
        <v>45</v>
      </c>
      <c r="C14" s="2" t="s">
        <v>134</v>
      </c>
      <c r="D14" s="2" t="s">
        <v>135</v>
      </c>
      <c r="E14" s="8">
        <f>VLOOKUP(C14,Table8[],6,FALSE)</f>
        <v>8</v>
      </c>
      <c r="F14" s="24">
        <f>VLOOKUP(C14,Table8[],7,FALSE)</f>
        <v>478943064.95999962</v>
      </c>
      <c r="G14" s="24">
        <f>VLOOKUP(C14,Table8[],11,FALSE)</f>
        <v>59867883.119999953</v>
      </c>
      <c r="H14" s="24">
        <f>VLOOKUP(C14,Table8[],12,FALSE)</f>
        <v>528.125</v>
      </c>
      <c r="I14" s="29">
        <f>VLOOKUP(C14,Table8[],8,FALSE)</f>
        <v>4225</v>
      </c>
      <c r="J14" s="44">
        <f>VLOOKUP(C14,Table25[[Kode Toko]:[MAT All]],3,FALSE)</f>
        <v>3.4501061571125266E-3</v>
      </c>
      <c r="K14" s="45">
        <f>VLOOKUP(C14,Table2[[#All],[Kode Toko]:[MAT Exc Beanspot]],3,FALSE)</f>
        <v>3.4501061571125266E-3</v>
      </c>
      <c r="L14" s="31">
        <f>VLOOKUP(C14,Table6[],4,FALSE)</f>
        <v>6.3217768147345615E-2</v>
      </c>
      <c r="M14" s="3">
        <f>VLOOKUP(C14,Table6[],5,FALSE)</f>
        <v>1.3006051949028305E-2</v>
      </c>
      <c r="N14" s="30">
        <f>VLOOKUP(C14,Table5[[Store Code]:[MAT % Beanspot]],8,FALSE)</f>
        <v>1059044688.9400001</v>
      </c>
      <c r="O14" s="24">
        <f>VLOOKUP(C14,Table5[[Store Code]:[MAT % Beanspot]],10,FALSE)</f>
        <v>794859603.26999998</v>
      </c>
      <c r="P14" s="24">
        <f>VLOOKUP(C14,Table5[[Store Code]:[MAT % Beanspot]],13,FALSE)</f>
        <v>264185085.67000011</v>
      </c>
      <c r="Q14" s="23">
        <f>VLOOKUP(C14,Table5[[Store Code]:[MAT % Beanspot]],15,FALSE)</f>
        <v>17.578443199269099</v>
      </c>
      <c r="R14" s="24" t="str">
        <f>VLOOKUP(C14,Table1[],6,FALSE)</f>
        <v>Invent</v>
      </c>
    </row>
    <row r="15" spans="2:18" x14ac:dyDescent="0.35">
      <c r="B15" s="2" t="s">
        <v>40</v>
      </c>
      <c r="C15" s="2" t="s">
        <v>38</v>
      </c>
      <c r="D15" s="2" t="s">
        <v>39</v>
      </c>
      <c r="E15" s="8">
        <f>VLOOKUP(C15,Table8[],6,FALSE)</f>
        <v>8</v>
      </c>
      <c r="F15" s="24">
        <f>VLOOKUP(C15,Table8[],7,FALSE)</f>
        <v>433008327.35999972</v>
      </c>
      <c r="G15" s="24">
        <f>VLOOKUP(C15,Table8[],11,FALSE)</f>
        <v>54126040.919999957</v>
      </c>
      <c r="H15" s="24">
        <f>VLOOKUP(C15,Table8[],12,FALSE)</f>
        <v>427.875</v>
      </c>
      <c r="I15" s="29">
        <f>VLOOKUP(C15,Table8[],8,FALSE)</f>
        <v>3423</v>
      </c>
      <c r="J15" s="44">
        <f>VLOOKUP(C15,Table25[[Kode Toko]:[MAT All]],3,FALSE)</f>
        <v>6.6884176182707991E-2</v>
      </c>
      <c r="K15" s="45">
        <f>VLOOKUP(C15,Table2[[#All],[Kode Toko]:[MAT Exc Beanspot]],3,FALSE)</f>
        <v>3.4257748776508973E-2</v>
      </c>
      <c r="L15" s="31">
        <f>VLOOKUP(C15,Table6[],4,FALSE)</f>
        <v>8.4498174033497034E-2</v>
      </c>
      <c r="M15" s="3">
        <f>VLOOKUP(C15,Table6[],5,FALSE)</f>
        <v>2.4918969783570905E-2</v>
      </c>
      <c r="N15" s="30">
        <f>VLOOKUP(C15,Table5[[Store Code]:[MAT % Beanspot]],8,FALSE)</f>
        <v>1056679115.53</v>
      </c>
      <c r="O15" s="24">
        <f>VLOOKUP(C15,Table5[[Store Code]:[MAT % Beanspot]],10,FALSE)</f>
        <v>819834433.11000001</v>
      </c>
      <c r="P15" s="24">
        <f>VLOOKUP(C15,Table5[[Store Code]:[MAT % Beanspot]],13,FALSE)</f>
        <v>236844682.41999999</v>
      </c>
      <c r="Q15" s="23">
        <f>VLOOKUP(C15,Table5[[Store Code]:[MAT % Beanspot]],15,FALSE)</f>
        <v>19.417313579702991</v>
      </c>
      <c r="R15" s="24" t="str">
        <f>VLOOKUP(C15,Table1[],6,FALSE)</f>
        <v>Invent</v>
      </c>
    </row>
    <row r="16" spans="2:18" x14ac:dyDescent="0.35">
      <c r="B16" s="2" t="s">
        <v>6</v>
      </c>
      <c r="C16" s="2" t="s">
        <v>61</v>
      </c>
      <c r="D16" s="2" t="s">
        <v>62</v>
      </c>
      <c r="E16" s="8">
        <f>VLOOKUP(C16,Table8[],6,FALSE)</f>
        <v>8</v>
      </c>
      <c r="F16" s="24">
        <f>VLOOKUP(C16,Table8[],7,FALSE)</f>
        <v>654362103.63999939</v>
      </c>
      <c r="G16" s="24">
        <f>VLOOKUP(C16,Table8[],11,FALSE)</f>
        <v>81795262.954999924</v>
      </c>
      <c r="H16" s="24">
        <f>VLOOKUP(C16,Table8[],12,FALSE)</f>
        <v>970.5</v>
      </c>
      <c r="I16" s="29">
        <f>VLOOKUP(C16,Table8[],8,FALSE)</f>
        <v>7764</v>
      </c>
      <c r="J16" s="44">
        <f>VLOOKUP(C16,Table25[[Kode Toko]:[MAT All]],3,FALSE)</f>
        <v>4.0626813697040048E-2</v>
      </c>
      <c r="K16" s="45">
        <f>VLOOKUP(C16,Table2[[#All],[Kode Toko]:[MAT Exc Beanspot]],3,FALSE)</f>
        <v>2.0893789901334881E-2</v>
      </c>
      <c r="L16" s="31">
        <f>VLOOKUP(C16,Table6[],4,FALSE)</f>
        <v>3.4351869424938321E-2</v>
      </c>
      <c r="M16" s="3">
        <f>VLOOKUP(C16,Table6[],5,FALSE)</f>
        <v>1.4329649531920646E-2</v>
      </c>
      <c r="N16" s="30">
        <f>VLOOKUP(C16,Table5[[Store Code]:[MAT % Beanspot]],8,FALSE)</f>
        <v>1055266607.79</v>
      </c>
      <c r="O16" s="24">
        <f>VLOOKUP(C16,Table5[[Store Code]:[MAT % Beanspot]],10,FALSE)</f>
        <v>1022472410.8</v>
      </c>
      <c r="P16" s="24">
        <f>VLOOKUP(C16,Table5[[Store Code]:[MAT % Beanspot]],13,FALSE)</f>
        <v>32794196.99000001</v>
      </c>
      <c r="Q16" s="23">
        <f>VLOOKUP(C16,Table5[[Store Code]:[MAT % Beanspot]],15,FALSE)</f>
        <v>12.806063238532881</v>
      </c>
      <c r="R16" s="24" t="str">
        <f>VLOOKUP(C16,Table1[],6,FALSE)</f>
        <v>PKM Auto</v>
      </c>
    </row>
    <row r="17" spans="2:18" x14ac:dyDescent="0.35">
      <c r="B17" s="2" t="s">
        <v>15</v>
      </c>
      <c r="C17" s="2" t="s">
        <v>88</v>
      </c>
      <c r="D17" s="2" t="s">
        <v>89</v>
      </c>
      <c r="E17" s="8">
        <f>VLOOKUP(C17,Table8[],6,FALSE)</f>
        <v>8</v>
      </c>
      <c r="F17" s="24">
        <f>VLOOKUP(C17,Table8[],7,FALSE)</f>
        <v>409409494.99999958</v>
      </c>
      <c r="G17" s="24">
        <f>VLOOKUP(C17,Table8[],11,FALSE)</f>
        <v>51176186.874999948</v>
      </c>
      <c r="H17" s="24">
        <f>VLOOKUP(C17,Table8[],12,FALSE)</f>
        <v>542.875</v>
      </c>
      <c r="I17" s="29">
        <f>VLOOKUP(C17,Table8[],8,FALSE)</f>
        <v>4343</v>
      </c>
      <c r="J17" s="44">
        <f>VLOOKUP(C17,Table25[[Kode Toko]:[MAT All]],3,FALSE)</f>
        <v>6.1686621551275377E-2</v>
      </c>
      <c r="K17" s="45">
        <f>VLOOKUP(C17,Table2[[#All],[Kode Toko]:[MAT Exc Beanspot]],3,FALSE)</f>
        <v>2.9672045809474232E-2</v>
      </c>
      <c r="L17" s="31">
        <f>VLOOKUP(C17,Table6[],4,FALSE)</f>
        <v>5.0324763932099774E-2</v>
      </c>
      <c r="M17" s="3">
        <f>VLOOKUP(C17,Table6[],5,FALSE)</f>
        <v>1.6988312041315574E-2</v>
      </c>
      <c r="N17" s="30">
        <f>VLOOKUP(C17,Table5[[Store Code]:[MAT % Beanspot]],8,FALSE)</f>
        <v>1042737003.7</v>
      </c>
      <c r="O17" s="24">
        <f>VLOOKUP(C17,Table5[[Store Code]:[MAT % Beanspot]],10,FALSE)</f>
        <v>868041515.96000004</v>
      </c>
      <c r="P17" s="24">
        <f>VLOOKUP(C17,Table5[[Store Code]:[MAT % Beanspot]],13,FALSE)</f>
        <v>174695487.74000001</v>
      </c>
      <c r="Q17" s="23">
        <f>VLOOKUP(C17,Table5[[Store Code]:[MAT % Beanspot]],15,FALSE)</f>
        <v>20.51256141357927</v>
      </c>
      <c r="R17" s="24" t="str">
        <f>VLOOKUP(C17,Table1[],6,FALSE)</f>
        <v>Invent</v>
      </c>
    </row>
    <row r="18" spans="2:18" x14ac:dyDescent="0.35">
      <c r="B18" s="2" t="s">
        <v>28</v>
      </c>
      <c r="C18" s="2" t="s">
        <v>26</v>
      </c>
      <c r="D18" s="2" t="s">
        <v>27</v>
      </c>
      <c r="E18" s="8">
        <f>VLOOKUP(C18,Table8[],6,FALSE)</f>
        <v>8</v>
      </c>
      <c r="F18" s="24">
        <f>VLOOKUP(C18,Table8[],7,FALSE)</f>
        <v>429083516.0199995</v>
      </c>
      <c r="G18" s="24">
        <f>VLOOKUP(C18,Table8[],11,FALSE)</f>
        <v>53635439.502499938</v>
      </c>
      <c r="H18" s="24">
        <f>VLOOKUP(C18,Table8[],12,FALSE)</f>
        <v>507.875</v>
      </c>
      <c r="I18" s="29">
        <f>VLOOKUP(C18,Table8[],8,FALSE)</f>
        <v>4063</v>
      </c>
      <c r="J18" s="44">
        <f>VLOOKUP(C18,Table25[[Kode Toko]:[MAT All]],3,FALSE)</f>
        <v>4.4738323016319637E-2</v>
      </c>
      <c r="K18" s="45">
        <f>VLOOKUP(C18,Table2[[#All],[Kode Toko]:[MAT Exc Beanspot]],3,FALSE)</f>
        <v>3.1795160382667415E-2</v>
      </c>
      <c r="L18" s="31">
        <f>VLOOKUP(C18,Table6[],4,FALSE)</f>
        <v>7.5595170935349204E-2</v>
      </c>
      <c r="M18" s="3">
        <f>VLOOKUP(C18,Table6[],5,FALSE)</f>
        <v>1.9745579087160132E-2</v>
      </c>
      <c r="N18" s="30">
        <f>VLOOKUP(C18,Table5[[Store Code]:[MAT % Beanspot]],8,FALSE)</f>
        <v>1042722581.33</v>
      </c>
      <c r="O18" s="24">
        <f>VLOOKUP(C18,Table5[[Store Code]:[MAT % Beanspot]],10,FALSE)</f>
        <v>851307442.47000003</v>
      </c>
      <c r="P18" s="24">
        <f>VLOOKUP(C18,Table5[[Store Code]:[MAT % Beanspot]],13,FALSE)</f>
        <v>191415138.86000001</v>
      </c>
      <c r="Q18" s="23">
        <f>VLOOKUP(C18,Table5[[Store Code]:[MAT % Beanspot]],15,FALSE)</f>
        <v>19.570107920947059</v>
      </c>
      <c r="R18" s="24" t="str">
        <f>VLOOKUP(C18,Table1[],6,FALSE)</f>
        <v>Invent</v>
      </c>
    </row>
    <row r="19" spans="2:18" x14ac:dyDescent="0.35">
      <c r="B19" s="2" t="s">
        <v>45</v>
      </c>
      <c r="C19" s="2" t="s">
        <v>128</v>
      </c>
      <c r="D19" s="2" t="s">
        <v>129</v>
      </c>
      <c r="E19" s="8">
        <f>VLOOKUP(C19,Table8[],6,FALSE)</f>
        <v>8</v>
      </c>
      <c r="F19" s="24">
        <f>VLOOKUP(C19,Table8[],7,FALSE)</f>
        <v>451243317.48999918</v>
      </c>
      <c r="G19" s="24">
        <f>VLOOKUP(C19,Table8[],11,FALSE)</f>
        <v>56405414.686249897</v>
      </c>
      <c r="H19" s="24">
        <f>VLOOKUP(C19,Table8[],12,FALSE)</f>
        <v>544.875</v>
      </c>
      <c r="I19" s="29">
        <f>VLOOKUP(C19,Table8[],8,FALSE)</f>
        <v>4359</v>
      </c>
      <c r="J19" s="44">
        <f>VLOOKUP(C19,Table25[[Kode Toko]:[MAT All]],3,FALSE)</f>
        <v>7.9463364293085662E-2</v>
      </c>
      <c r="K19" s="45">
        <f>VLOOKUP(C19,Table2[[#All],[Kode Toko]:[MAT Exc Beanspot]],3,FALSE)</f>
        <v>2.8379772961816305E-2</v>
      </c>
      <c r="L19" s="31">
        <f>VLOOKUP(C19,Table6[],4,FALSE)</f>
        <v>4.3558325660457538E-2</v>
      </c>
      <c r="M19" s="3">
        <f>VLOOKUP(C19,Table6[],5,FALSE)</f>
        <v>1.4193208342745275E-2</v>
      </c>
      <c r="N19" s="30">
        <f>VLOOKUP(C19,Table5[[Store Code]:[MAT % Beanspot]],8,FALSE)</f>
        <v>1019976015.17</v>
      </c>
      <c r="O19" s="24">
        <f>VLOOKUP(C19,Table5[[Store Code]:[MAT % Beanspot]],10,FALSE)</f>
        <v>734268478.89999998</v>
      </c>
      <c r="P19" s="24">
        <f>VLOOKUP(C19,Table5[[Store Code]:[MAT % Beanspot]],13,FALSE)</f>
        <v>285707536.26999998</v>
      </c>
      <c r="Q19" s="23">
        <f>VLOOKUP(C19,Table5[[Store Code]:[MAT % Beanspot]],15,FALSE)</f>
        <v>17.963242091060931</v>
      </c>
      <c r="R19" s="24" t="str">
        <f>VLOOKUP(C19,Table1[],6,FALSE)</f>
        <v>Invent</v>
      </c>
    </row>
    <row r="20" spans="2:18" x14ac:dyDescent="0.35">
      <c r="B20" s="2" t="s">
        <v>52</v>
      </c>
      <c r="C20" s="2" t="s">
        <v>136</v>
      </c>
      <c r="D20" s="2" t="s">
        <v>137</v>
      </c>
      <c r="E20" s="8">
        <f>VLOOKUP(C20,Table8[],6,FALSE)</f>
        <v>8</v>
      </c>
      <c r="F20" s="24">
        <f>VLOOKUP(C20,Table8[],7,FALSE)</f>
        <v>430232923.27999908</v>
      </c>
      <c r="G20" s="24">
        <f>VLOOKUP(C20,Table8[],11,FALSE)</f>
        <v>53779115.409999892</v>
      </c>
      <c r="H20" s="24">
        <f>VLOOKUP(C20,Table8[],12,FALSE)</f>
        <v>492.875</v>
      </c>
      <c r="I20" s="29">
        <f>VLOOKUP(C20,Table8[],8,FALSE)</f>
        <v>3943</v>
      </c>
      <c r="J20" s="44">
        <f>VLOOKUP(C20,Table25[[Kode Toko]:[MAT All]],3,FALSE)</f>
        <v>1.4216661927779358E-3</v>
      </c>
      <c r="K20" s="45">
        <f>VLOOKUP(C20,Table2[[#All],[Kode Toko]:[MAT Exc Beanspot]],3,FALSE)</f>
        <v>1.4216661927779358E-3</v>
      </c>
      <c r="L20" s="31">
        <f>VLOOKUP(C20,Table6[],4,FALSE)</f>
        <v>5.7985967808501855E-2</v>
      </c>
      <c r="M20" s="3">
        <f>VLOOKUP(C20,Table6[],5,FALSE)</f>
        <v>1.9608533408434839E-2</v>
      </c>
      <c r="N20" s="30">
        <f>VLOOKUP(C20,Table5[[Store Code]:[MAT % Beanspot]],8,FALSE)</f>
        <v>1018921916.16</v>
      </c>
      <c r="O20" s="24">
        <f>VLOOKUP(C20,Table5[[Store Code]:[MAT % Beanspot]],10,FALSE)</f>
        <v>674528392.15999997</v>
      </c>
      <c r="P20" s="24">
        <f>VLOOKUP(C20,Table5[[Store Code]:[MAT % Beanspot]],13,FALSE)</f>
        <v>344393524</v>
      </c>
      <c r="Q20" s="23">
        <f>VLOOKUP(C20,Table5[[Store Code]:[MAT % Beanspot]],15,FALSE)</f>
        <v>18.430778509826219</v>
      </c>
      <c r="R20" s="24" t="str">
        <f>VLOOKUP(C20,Table1[],6,FALSE)</f>
        <v>Invent</v>
      </c>
    </row>
    <row r="21" spans="2:18" x14ac:dyDescent="0.35">
      <c r="B21" s="2" t="s">
        <v>15</v>
      </c>
      <c r="C21" s="2" t="s">
        <v>105</v>
      </c>
      <c r="D21" s="2" t="s">
        <v>106</v>
      </c>
      <c r="E21" s="8">
        <f>VLOOKUP(C21,Table8[],6,FALSE)</f>
        <v>8</v>
      </c>
      <c r="F21" s="24">
        <f>VLOOKUP(C21,Table8[],7,FALSE)</f>
        <v>373973288.28999943</v>
      </c>
      <c r="G21" s="24">
        <f>VLOOKUP(C21,Table8[],11,FALSE)</f>
        <v>46746661.036249921</v>
      </c>
      <c r="H21" s="24">
        <f>VLOOKUP(C21,Table8[],12,FALSE)</f>
        <v>461.75</v>
      </c>
      <c r="I21" s="29">
        <f>VLOOKUP(C21,Table8[],8,FALSE)</f>
        <v>3694</v>
      </c>
      <c r="J21" s="44">
        <f>VLOOKUP(C21,Table25[[Kode Toko]:[MAT All]],3,FALSE)</f>
        <v>6.0994205550472704E-4</v>
      </c>
      <c r="K21" s="45">
        <f>VLOOKUP(C21,Table2[[#All],[Kode Toko]:[MAT Exc Beanspot]],3,FALSE)</f>
        <v>6.0994205550472704E-4</v>
      </c>
      <c r="L21" s="31">
        <f>VLOOKUP(C21,Table6[],4,FALSE)</f>
        <v>3.8367992216952453E-2</v>
      </c>
      <c r="M21" s="3">
        <f>VLOOKUP(C21,Table6[],5,FALSE)</f>
        <v>1.0077082158300433E-2</v>
      </c>
      <c r="N21" s="30">
        <f>VLOOKUP(C21,Table5[[Store Code]:[MAT % Beanspot]],8,FALSE)</f>
        <v>1014935965.41</v>
      </c>
      <c r="O21" s="24">
        <f>VLOOKUP(C21,Table5[[Store Code]:[MAT % Beanspot]],10,FALSE)</f>
        <v>850316656.5</v>
      </c>
      <c r="P21" s="24">
        <f>VLOOKUP(C21,Table5[[Store Code]:[MAT % Beanspot]],13,FALSE)</f>
        <v>164619308.91</v>
      </c>
      <c r="Q21" s="23">
        <f>VLOOKUP(C21,Table5[[Store Code]:[MAT % Beanspot]],15,FALSE)</f>
        <v>21.395136902380521</v>
      </c>
      <c r="R21" s="24" t="str">
        <f>VLOOKUP(C21,Table1[],6,FALSE)</f>
        <v>Invent</v>
      </c>
    </row>
    <row r="22" spans="2:18" x14ac:dyDescent="0.35">
      <c r="B22" s="2" t="s">
        <v>92</v>
      </c>
      <c r="C22" s="2" t="s">
        <v>90</v>
      </c>
      <c r="D22" s="2" t="s">
        <v>91</v>
      </c>
      <c r="E22" s="8">
        <f>VLOOKUP(C22,Table8[],6,FALSE)</f>
        <v>8</v>
      </c>
      <c r="F22" s="24">
        <f>VLOOKUP(C22,Table8[],7,FALSE)</f>
        <v>447931888.18999898</v>
      </c>
      <c r="G22" s="24">
        <f>VLOOKUP(C22,Table8[],11,FALSE)</f>
        <v>55991486.023749873</v>
      </c>
      <c r="H22" s="24">
        <f>VLOOKUP(C22,Table8[],12,FALSE)</f>
        <v>724.875</v>
      </c>
      <c r="I22" s="29">
        <f>VLOOKUP(C22,Table8[],8,FALSE)</f>
        <v>5799</v>
      </c>
      <c r="J22" s="44">
        <f>VLOOKUP(C22,Table25[[Kode Toko]:[MAT All]],3,FALSE)</f>
        <v>3.8595810705973621E-2</v>
      </c>
      <c r="K22" s="45">
        <f>VLOOKUP(C22,Table2[[#All],[Kode Toko]:[MAT Exc Beanspot]],3,FALSE)</f>
        <v>3.6656322730799072E-2</v>
      </c>
      <c r="L22" s="31">
        <f>VLOOKUP(C22,Table6[],4,FALSE)</f>
        <v>3.2769152456095699E-2</v>
      </c>
      <c r="M22" s="3">
        <f>VLOOKUP(C22,Table6[],5,FALSE)</f>
        <v>1.4222373806275579E-2</v>
      </c>
      <c r="N22" s="30">
        <f>VLOOKUP(C22,Table5[[Store Code]:[MAT % Beanspot]],8,FALSE)</f>
        <v>1004438177.5599999</v>
      </c>
      <c r="O22" s="24">
        <f>VLOOKUP(C22,Table5[[Store Code]:[MAT % Beanspot]],10,FALSE)</f>
        <v>864799626</v>
      </c>
      <c r="P22" s="24">
        <f>VLOOKUP(C22,Table5[[Store Code]:[MAT % Beanspot]],13,FALSE)</f>
        <v>139638551.56000009</v>
      </c>
      <c r="Q22" s="23">
        <f>VLOOKUP(C22,Table5[[Store Code]:[MAT % Beanspot]],15,FALSE)</f>
        <v>17.64693880397342</v>
      </c>
      <c r="R22" s="24" t="str">
        <f>VLOOKUP(C22,Table1[],6,FALSE)</f>
        <v>Invent</v>
      </c>
    </row>
    <row r="23" spans="2:18" x14ac:dyDescent="0.35">
      <c r="B23" s="2" t="s">
        <v>6</v>
      </c>
      <c r="C23" s="2" t="s">
        <v>103</v>
      </c>
      <c r="D23" s="2" t="s">
        <v>104</v>
      </c>
      <c r="E23" s="8">
        <f>VLOOKUP(C23,Table8[],6,FALSE)</f>
        <v>8</v>
      </c>
      <c r="F23" s="24">
        <f>VLOOKUP(C23,Table8[],7,FALSE)</f>
        <v>542997371.16999984</v>
      </c>
      <c r="G23" s="24">
        <f>VLOOKUP(C23,Table8[],11,FALSE)</f>
        <v>67874671.39624998</v>
      </c>
      <c r="H23" s="24">
        <f>VLOOKUP(C23,Table8[],12,FALSE)</f>
        <v>764.375</v>
      </c>
      <c r="I23" s="29">
        <f>VLOOKUP(C23,Table8[],8,FALSE)</f>
        <v>6115</v>
      </c>
      <c r="J23" s="44">
        <f>VLOOKUP(C23,Table25[[Kode Toko]:[MAT All]],3,FALSE)</f>
        <v>2.8597957288765088E-2</v>
      </c>
      <c r="K23" s="45">
        <f>VLOOKUP(C23,Table2[[#All],[Kode Toko]:[MAT Exc Beanspot]],3,FALSE)</f>
        <v>2.0798514391829157E-2</v>
      </c>
      <c r="L23" s="31">
        <f>VLOOKUP(C23,Table6[],4,FALSE)</f>
        <v>3.671239837398374E-2</v>
      </c>
      <c r="M23" s="3">
        <f>VLOOKUP(C23,Table6[],5,FALSE)</f>
        <v>1.3309732103346156E-2</v>
      </c>
      <c r="N23" s="30">
        <f>VLOOKUP(C23,Table5[[Store Code]:[MAT % Beanspot]],8,FALSE)</f>
        <v>1000883321.1799999</v>
      </c>
      <c r="O23" s="24">
        <f>VLOOKUP(C23,Table5[[Store Code]:[MAT % Beanspot]],10,FALSE)</f>
        <v>977869167.13999999</v>
      </c>
      <c r="P23" s="24">
        <f>VLOOKUP(C23,Table5[[Store Code]:[MAT % Beanspot]],13,FALSE)</f>
        <v>23014154.039999962</v>
      </c>
      <c r="Q23" s="23">
        <f>VLOOKUP(C23,Table5[[Store Code]:[MAT % Beanspot]],15,FALSE)</f>
        <v>14.70535228330696</v>
      </c>
      <c r="R23" s="24" t="str">
        <f>VLOOKUP(C23,Table1[],6,FALSE)</f>
        <v>PKM Auto</v>
      </c>
    </row>
    <row r="24" spans="2:18" x14ac:dyDescent="0.35">
      <c r="B24" s="2" t="s">
        <v>45</v>
      </c>
      <c r="C24" s="2" t="s">
        <v>115</v>
      </c>
      <c r="D24" s="2" t="s">
        <v>116</v>
      </c>
      <c r="E24" s="8">
        <f>VLOOKUP(C24,Table8[],6,FALSE)</f>
        <v>8</v>
      </c>
      <c r="F24" s="24">
        <f>VLOOKUP(C24,Table8[],7,FALSE)</f>
        <v>500914317.57999992</v>
      </c>
      <c r="G24" s="24">
        <f>VLOOKUP(C24,Table8[],11,FALSE)</f>
        <v>62614289.69749999</v>
      </c>
      <c r="H24" s="24">
        <f>VLOOKUP(C24,Table8[],12,FALSE)</f>
        <v>541.25</v>
      </c>
      <c r="I24" s="29">
        <f>VLOOKUP(C24,Table8[],8,FALSE)</f>
        <v>4330</v>
      </c>
      <c r="J24" s="44">
        <f>VLOOKUP(C24,Table25[[Kode Toko]:[MAT All]],3,FALSE)</f>
        <v>3.3367556468172485E-3</v>
      </c>
      <c r="K24" s="45">
        <f>VLOOKUP(C24,Table2[[#All],[Kode Toko]:[MAT Exc Beanspot]],3,FALSE)</f>
        <v>3.3367556468172485E-3</v>
      </c>
      <c r="L24" s="31">
        <f>VLOOKUP(C24,Table6[],4,FALSE)</f>
        <v>4.7236399174720382E-2</v>
      </c>
      <c r="M24" s="3">
        <f>VLOOKUP(C24,Table6[],5,FALSE)</f>
        <v>1.7123406620124345E-2</v>
      </c>
      <c r="N24" s="30">
        <f>VLOOKUP(C24,Table5[[Store Code]:[MAT % Beanspot]],8,FALSE)</f>
        <v>1000869959.46</v>
      </c>
      <c r="O24" s="24">
        <f>VLOOKUP(C24,Table5[[Store Code]:[MAT % Beanspot]],10,FALSE)</f>
        <v>927625671.62</v>
      </c>
      <c r="P24" s="24">
        <f>VLOOKUP(C24,Table5[[Store Code]:[MAT % Beanspot]],13,FALSE)</f>
        <v>73244287.840000033</v>
      </c>
      <c r="Q24" s="23">
        <f>VLOOKUP(C24,Table5[[Store Code]:[MAT % Beanspot]],15,FALSE)</f>
        <v>15.5006927401749</v>
      </c>
      <c r="R24" s="24" t="str">
        <f>VLOOKUP(C24,Table1[],6,FALSE)</f>
        <v>Invent</v>
      </c>
    </row>
    <row r="25" spans="2:18" x14ac:dyDescent="0.35">
      <c r="B25" s="2" t="s">
        <v>45</v>
      </c>
      <c r="C25" s="2" t="s">
        <v>101</v>
      </c>
      <c r="D25" s="2" t="s">
        <v>102</v>
      </c>
      <c r="E25" s="8">
        <f>VLOOKUP(C25,Table8[],6,FALSE)</f>
        <v>8</v>
      </c>
      <c r="F25" s="24">
        <f>VLOOKUP(C25,Table8[],7,FALSE)</f>
        <v>284485851.6099999</v>
      </c>
      <c r="G25" s="24">
        <f>VLOOKUP(C25,Table8[],11,FALSE)</f>
        <v>35560731.451249987</v>
      </c>
      <c r="H25" s="24">
        <f>VLOOKUP(C25,Table8[],12,FALSE)</f>
        <v>331.375</v>
      </c>
      <c r="I25" s="29">
        <f>VLOOKUP(C25,Table8[],8,FALSE)</f>
        <v>2651</v>
      </c>
      <c r="J25" s="44">
        <f>VLOOKUP(C25,Table25[[Kode Toko]:[MAT All]],3,FALSE)</f>
        <v>6.9450362164465276E-2</v>
      </c>
      <c r="K25" s="45">
        <f>VLOOKUP(C25,Table2[[#All],[Kode Toko]:[MAT Exc Beanspot]],3,FALSE)</f>
        <v>5.4111631870472944E-2</v>
      </c>
      <c r="L25" s="31">
        <f>VLOOKUP(C25,Table6[],4,FALSE)</f>
        <v>3.2758905467158511E-2</v>
      </c>
      <c r="M25" s="3">
        <f>VLOOKUP(C25,Table6[],5,FALSE)</f>
        <v>9.9765476677958539E-3</v>
      </c>
      <c r="N25" s="30">
        <f>VLOOKUP(C25,Table5[[Store Code]:[MAT % Beanspot]],8,FALSE)</f>
        <v>995034090.97000003</v>
      </c>
      <c r="O25" s="24">
        <f>VLOOKUP(C25,Table5[[Store Code]:[MAT % Beanspot]],10,FALSE)</f>
        <v>850457530.46000004</v>
      </c>
      <c r="P25" s="24">
        <f>VLOOKUP(C25,Table5[[Store Code]:[MAT % Beanspot]],13,FALSE)</f>
        <v>144576560.50999999</v>
      </c>
      <c r="Q25" s="23">
        <f>VLOOKUP(C25,Table5[[Store Code]:[MAT % Beanspot]],15,FALSE)</f>
        <v>28.03267893935384</v>
      </c>
      <c r="R25" s="24" t="str">
        <f>VLOOKUP(C25,Table1[],6,FALSE)</f>
        <v>Invent</v>
      </c>
    </row>
    <row r="26" spans="2:18" x14ac:dyDescent="0.35">
      <c r="B26" s="2" t="s">
        <v>45</v>
      </c>
      <c r="C26" s="2" t="s">
        <v>43</v>
      </c>
      <c r="D26" s="2" t="s">
        <v>44</v>
      </c>
      <c r="E26" s="8">
        <f>VLOOKUP(C26,Table8[],6,FALSE)</f>
        <v>8</v>
      </c>
      <c r="F26" s="24">
        <f>VLOOKUP(C26,Table8[],7,FALSE)</f>
        <v>410971413.74999982</v>
      </c>
      <c r="G26" s="24">
        <f>VLOOKUP(C26,Table8[],11,FALSE)</f>
        <v>51371426.718749978</v>
      </c>
      <c r="H26" s="24">
        <f>VLOOKUP(C26,Table8[],12,FALSE)</f>
        <v>460</v>
      </c>
      <c r="I26" s="29">
        <f>VLOOKUP(C26,Table8[],8,FALSE)</f>
        <v>3680</v>
      </c>
      <c r="J26" s="44">
        <f>VLOOKUP(C26,Table25[[Kode Toko]:[MAT All]],3,FALSE)</f>
        <v>5.9234507897934385E-2</v>
      </c>
      <c r="K26" s="45">
        <f>VLOOKUP(C26,Table2[[#All],[Kode Toko]:[MAT Exc Beanspot]],3,FALSE)</f>
        <v>3.2503037667071688E-2</v>
      </c>
      <c r="L26" s="31">
        <f>VLOOKUP(C26,Table6[],4,FALSE)</f>
        <v>5.1330695430646646E-2</v>
      </c>
      <c r="M26" s="3">
        <f>VLOOKUP(C26,Table6[],5,FALSE)</f>
        <v>2.0538440188731612E-2</v>
      </c>
      <c r="N26" s="30">
        <f>VLOOKUP(C26,Table5[[Store Code]:[MAT % Beanspot]],8,FALSE)</f>
        <v>977992463.57000005</v>
      </c>
      <c r="O26" s="24">
        <f>VLOOKUP(C26,Table5[[Store Code]:[MAT % Beanspot]],10,FALSE)</f>
        <v>882269364.08000004</v>
      </c>
      <c r="P26" s="24">
        <f>VLOOKUP(C26,Table5[[Store Code]:[MAT % Beanspot]],13,FALSE)</f>
        <v>95723099.49000001</v>
      </c>
      <c r="Q26" s="23">
        <f>VLOOKUP(C26,Table5[[Store Code]:[MAT % Beanspot]],15,FALSE)</f>
        <v>18.730653852583941</v>
      </c>
      <c r="R26" s="24" t="str">
        <f>VLOOKUP(C26,Table1[],6,FALSE)</f>
        <v>Invent</v>
      </c>
    </row>
    <row r="27" spans="2:18" x14ac:dyDescent="0.35">
      <c r="B27" s="2" t="s">
        <v>15</v>
      </c>
      <c r="C27" s="2" t="s">
        <v>67</v>
      </c>
      <c r="D27" s="2" t="s">
        <v>68</v>
      </c>
      <c r="E27" s="8">
        <f>VLOOKUP(C27,Table8[],6,FALSE)</f>
        <v>8</v>
      </c>
      <c r="F27" s="24">
        <f>VLOOKUP(C27,Table8[],7,FALSE)</f>
        <v>306545643.6299994</v>
      </c>
      <c r="G27" s="24">
        <f>VLOOKUP(C27,Table8[],11,FALSE)</f>
        <v>38318205.453749917</v>
      </c>
      <c r="H27" s="24">
        <f>VLOOKUP(C27,Table8[],12,FALSE)</f>
        <v>362.25</v>
      </c>
      <c r="I27" s="29">
        <f>VLOOKUP(C27,Table8[],8,FALSE)</f>
        <v>2898</v>
      </c>
      <c r="J27" s="44">
        <f>VLOOKUP(C27,Table25[[Kode Toko]:[MAT All]],3,FALSE)</f>
        <v>6.4885496183206104E-2</v>
      </c>
      <c r="K27" s="45">
        <f>VLOOKUP(C27,Table2[[#All],[Kode Toko]:[MAT Exc Beanspot]],3,FALSE)</f>
        <v>3.8549618320610685E-2</v>
      </c>
      <c r="L27" s="31">
        <f>VLOOKUP(C27,Table6[],4,FALSE)</f>
        <v>5.3863257365202893E-2</v>
      </c>
      <c r="M27" s="3">
        <f>VLOOKUP(C27,Table6[],5,FALSE)</f>
        <v>2.6452444847175269E-2</v>
      </c>
      <c r="N27" s="30">
        <f>VLOOKUP(C27,Table5[[Store Code]:[MAT % Beanspot]],8,FALSE)</f>
        <v>977575750.70000005</v>
      </c>
      <c r="O27" s="24">
        <f>VLOOKUP(C27,Table5[[Store Code]:[MAT % Beanspot]],10,FALSE)</f>
        <v>958144824.15999997</v>
      </c>
      <c r="P27" s="24">
        <f>VLOOKUP(C27,Table5[[Store Code]:[MAT % Beanspot]],13,FALSE)</f>
        <v>19430926.540000081</v>
      </c>
      <c r="Q27" s="23">
        <f>VLOOKUP(C27,Table5[[Store Code]:[MAT % Beanspot]],15,FALSE)</f>
        <v>25.13615399582385</v>
      </c>
      <c r="R27" s="24" t="str">
        <f>VLOOKUP(C27,Table1[],6,FALSE)</f>
        <v>Invent</v>
      </c>
    </row>
    <row r="28" spans="2:18" x14ac:dyDescent="0.35">
      <c r="B28" s="2" t="s">
        <v>45</v>
      </c>
      <c r="C28" s="2" t="s">
        <v>109</v>
      </c>
      <c r="D28" s="2" t="s">
        <v>110</v>
      </c>
      <c r="E28" s="8">
        <f>VLOOKUP(C28,Table8[],6,FALSE)</f>
        <v>8</v>
      </c>
      <c r="F28" s="24">
        <f>VLOOKUP(C28,Table8[],7,FALSE)</f>
        <v>462433097.58999968</v>
      </c>
      <c r="G28" s="24">
        <f>VLOOKUP(C28,Table8[],11,FALSE)</f>
        <v>57804137.198749959</v>
      </c>
      <c r="H28" s="24">
        <f>VLOOKUP(C28,Table8[],12,FALSE)</f>
        <v>547</v>
      </c>
      <c r="I28" s="29">
        <f>VLOOKUP(C28,Table8[],8,FALSE)</f>
        <v>4376</v>
      </c>
      <c r="J28" s="44">
        <f>VLOOKUP(C28,Table25[[Kode Toko]:[MAT All]],3,FALSE)</f>
        <v>5.8004640371229696E-2</v>
      </c>
      <c r="K28" s="45">
        <f>VLOOKUP(C28,Table2[[#All],[Kode Toko]:[MAT Exc Beanspot]],3,FALSE)</f>
        <v>3.6349574632637278E-2</v>
      </c>
      <c r="L28" s="31">
        <f>VLOOKUP(C28,Table6[],4,FALSE)</f>
        <v>4.3171114599686027E-2</v>
      </c>
      <c r="M28" s="3">
        <f>VLOOKUP(C28,Table6[],5,FALSE)</f>
        <v>2.1168156025959024E-2</v>
      </c>
      <c r="N28" s="30">
        <f>VLOOKUP(C28,Table5[[Store Code]:[MAT % Beanspot]],8,FALSE)</f>
        <v>974822493.60000002</v>
      </c>
      <c r="O28" s="24">
        <f>VLOOKUP(C28,Table5[[Store Code]:[MAT % Beanspot]],10,FALSE)</f>
        <v>900761409.03999996</v>
      </c>
      <c r="P28" s="24">
        <f>VLOOKUP(C28,Table5[[Store Code]:[MAT % Beanspot]],13,FALSE)</f>
        <v>74061084.560000062</v>
      </c>
      <c r="Q28" s="23">
        <f>VLOOKUP(C28,Table5[[Store Code]:[MAT % Beanspot]],15,FALSE)</f>
        <v>16.614401055184189</v>
      </c>
      <c r="R28" s="24" t="str">
        <f>VLOOKUP(C28,Table1[],6,FALSE)</f>
        <v>Invent</v>
      </c>
    </row>
    <row r="29" spans="2:18" x14ac:dyDescent="0.35">
      <c r="B29" s="2" t="s">
        <v>45</v>
      </c>
      <c r="C29" s="2" t="s">
        <v>55</v>
      </c>
      <c r="D29" s="2" t="s">
        <v>56</v>
      </c>
      <c r="E29" s="8">
        <f>VLOOKUP(C29,Table8[],6,FALSE)</f>
        <v>8</v>
      </c>
      <c r="F29" s="24">
        <f>VLOOKUP(C29,Table8[],7,FALSE)</f>
        <v>535469276.23999852</v>
      </c>
      <c r="G29" s="24">
        <f>VLOOKUP(C29,Table8[],11,FALSE)</f>
        <v>66933659.529999807</v>
      </c>
      <c r="H29" s="24">
        <f>VLOOKUP(C29,Table8[],12,FALSE)</f>
        <v>547.75</v>
      </c>
      <c r="I29" s="29">
        <f>VLOOKUP(C29,Table8[],8,FALSE)</f>
        <v>4382</v>
      </c>
      <c r="J29" s="44">
        <f>VLOOKUP(C29,Table25[[Kode Toko]:[MAT All]],3,FALSE)</f>
        <v>5.3735926305015357E-2</v>
      </c>
      <c r="K29" s="45">
        <f>VLOOKUP(C29,Table2[[#All],[Kode Toko]:[MAT Exc Beanspot]],3,FALSE)</f>
        <v>3.5056294779938588E-2</v>
      </c>
      <c r="L29" s="31">
        <f>VLOOKUP(C29,Table6[],4,FALSE)</f>
        <v>6.1450405685892197E-2</v>
      </c>
      <c r="M29" s="3">
        <f>VLOOKUP(C29,Table6[],5,FALSE)</f>
        <v>2.3555005438655713E-2</v>
      </c>
      <c r="N29" s="30">
        <f>VLOOKUP(C29,Table5[[Store Code]:[MAT % Beanspot]],8,FALSE)</f>
        <v>974723121.71000004</v>
      </c>
      <c r="O29" s="24">
        <f>VLOOKUP(C29,Table5[[Store Code]:[MAT % Beanspot]],10,FALSE)</f>
        <v>906364805.26999998</v>
      </c>
      <c r="P29" s="24">
        <f>VLOOKUP(C29,Table5[[Store Code]:[MAT % Beanspot]],13,FALSE)</f>
        <v>68358316.440000057</v>
      </c>
      <c r="Q29" s="23">
        <f>VLOOKUP(C29,Table5[[Store Code]:[MAT % Beanspot]],15,FALSE)</f>
        <v>14.86712610075422</v>
      </c>
      <c r="R29" s="24" t="str">
        <f>VLOOKUP(C29,Table1[],6,FALSE)</f>
        <v>Invent</v>
      </c>
    </row>
    <row r="30" spans="2:18" x14ac:dyDescent="0.35">
      <c r="B30" s="2" t="s">
        <v>45</v>
      </c>
      <c r="C30" s="2" t="s">
        <v>75</v>
      </c>
      <c r="D30" s="2" t="s">
        <v>76</v>
      </c>
      <c r="E30" s="8">
        <f>VLOOKUP(C30,Table8[],6,FALSE)</f>
        <v>8</v>
      </c>
      <c r="F30" s="24">
        <f>VLOOKUP(C30,Table8[],7,FALSE)</f>
        <v>368453157.41999972</v>
      </c>
      <c r="G30" s="24">
        <f>VLOOKUP(C30,Table8[],11,FALSE)</f>
        <v>46056644.677499957</v>
      </c>
      <c r="H30" s="24">
        <f>VLOOKUP(C30,Table8[],12,FALSE)</f>
        <v>392.75</v>
      </c>
      <c r="I30" s="29">
        <f>VLOOKUP(C30,Table8[],8,FALSE)</f>
        <v>3142</v>
      </c>
      <c r="J30" s="44">
        <f>VLOOKUP(C30,Table25[[Kode Toko]:[MAT All]],3,FALSE)</f>
        <v>8.0170273146505849E-2</v>
      </c>
      <c r="K30" s="45">
        <f>VLOOKUP(C30,Table2[[#All],[Kode Toko]:[MAT Exc Beanspot]],3,FALSE)</f>
        <v>6.0659808442710184E-2</v>
      </c>
      <c r="L30" s="31">
        <f>VLOOKUP(C30,Table6[],4,FALSE)</f>
        <v>3.891699860049521E-2</v>
      </c>
      <c r="M30" s="3">
        <f>VLOOKUP(C30,Table6[],5,FALSE)</f>
        <v>1.6914349354400861E-2</v>
      </c>
      <c r="N30" s="30">
        <f>VLOOKUP(C30,Table5[[Store Code]:[MAT % Beanspot]],8,FALSE)</f>
        <v>971778542.73000002</v>
      </c>
      <c r="O30" s="24">
        <f>VLOOKUP(C30,Table5[[Store Code]:[MAT % Beanspot]],10,FALSE)</f>
        <v>882670668.66999996</v>
      </c>
      <c r="P30" s="24">
        <f>VLOOKUP(C30,Table5[[Store Code]:[MAT % Beanspot]],13,FALSE)</f>
        <v>89107874.060000062</v>
      </c>
      <c r="Q30" s="23">
        <f>VLOOKUP(C30,Table5[[Store Code]:[MAT % Beanspot]],15,FALSE)</f>
        <v>21.063694426996619</v>
      </c>
      <c r="R30" s="24" t="str">
        <f>VLOOKUP(C30,Table1[],6,FALSE)</f>
        <v>Invent</v>
      </c>
    </row>
    <row r="31" spans="2:18" x14ac:dyDescent="0.35">
      <c r="B31" s="2" t="s">
        <v>15</v>
      </c>
      <c r="C31" s="2" t="s">
        <v>77</v>
      </c>
      <c r="D31" s="2" t="s">
        <v>78</v>
      </c>
      <c r="E31" s="8">
        <f>VLOOKUP(C31,Table8[],6,FALSE)</f>
        <v>8</v>
      </c>
      <c r="F31" s="24">
        <f>VLOOKUP(C31,Table8[],7,FALSE)</f>
        <v>350169024.80999953</v>
      </c>
      <c r="G31" s="24">
        <f>VLOOKUP(C31,Table8[],11,FALSE)</f>
        <v>43771128.101249933</v>
      </c>
      <c r="H31" s="24">
        <f>VLOOKUP(C31,Table8[],12,FALSE)</f>
        <v>414.125</v>
      </c>
      <c r="I31" s="29">
        <f>VLOOKUP(C31,Table8[],8,FALSE)</f>
        <v>3313</v>
      </c>
      <c r="J31" s="44">
        <f>VLOOKUP(C31,Table25[[Kode Toko]:[MAT All]],3,FALSE)</f>
        <v>6.955645161290322E-2</v>
      </c>
      <c r="K31" s="45">
        <f>VLOOKUP(C31,Table2[[#All],[Kode Toko]:[MAT Exc Beanspot]],3,FALSE)</f>
        <v>4.7715053763440859E-2</v>
      </c>
      <c r="L31" s="31">
        <f>VLOOKUP(C31,Table6[],4,FALSE)</f>
        <v>4.078963756383111E-2</v>
      </c>
      <c r="M31" s="3">
        <f>VLOOKUP(C31,Table6[],5,FALSE)</f>
        <v>1.5357579462102689E-2</v>
      </c>
      <c r="N31" s="30">
        <f>VLOOKUP(C31,Table5[[Store Code]:[MAT % Beanspot]],8,FALSE)</f>
        <v>971560675.50999999</v>
      </c>
      <c r="O31" s="24">
        <f>VLOOKUP(C31,Table5[[Store Code]:[MAT % Beanspot]],10,FALSE)</f>
        <v>825753555.69000006</v>
      </c>
      <c r="P31" s="24">
        <f>VLOOKUP(C31,Table5[[Store Code]:[MAT % Beanspot]],13,FALSE)</f>
        <v>145807119.8199999</v>
      </c>
      <c r="Q31" s="23">
        <f>VLOOKUP(C31,Table5[[Store Code]:[MAT % Beanspot]],15,FALSE)</f>
        <v>22.1509947267411</v>
      </c>
      <c r="R31" s="24" t="str">
        <f>VLOOKUP(C31,Table1[],6,FALSE)</f>
        <v>Invent</v>
      </c>
    </row>
    <row r="32" spans="2:18" x14ac:dyDescent="0.35">
      <c r="B32" s="2" t="s">
        <v>45</v>
      </c>
      <c r="C32" s="2" t="s">
        <v>107</v>
      </c>
      <c r="D32" s="2" t="s">
        <v>108</v>
      </c>
      <c r="E32" s="8">
        <f>VLOOKUP(C32,Table8[],6,FALSE)</f>
        <v>8</v>
      </c>
      <c r="F32" s="24">
        <f>VLOOKUP(C32,Table8[],7,FALSE)</f>
        <v>439064173.41000003</v>
      </c>
      <c r="G32" s="24">
        <f>VLOOKUP(C32,Table8[],11,FALSE)</f>
        <v>54883021.676250003</v>
      </c>
      <c r="H32" s="24">
        <f>VLOOKUP(C32,Table8[],12,FALSE)</f>
        <v>476.875</v>
      </c>
      <c r="I32" s="29">
        <f>VLOOKUP(C32,Table8[],8,FALSE)</f>
        <v>3815</v>
      </c>
      <c r="J32" s="44">
        <f>VLOOKUP(C32,Table25[[Kode Toko]:[MAT All]],3,FALSE)</f>
        <v>2.3405500292568754E-3</v>
      </c>
      <c r="K32" s="45">
        <f>VLOOKUP(C32,Table2[[#All],[Kode Toko]:[MAT Exc Beanspot]],3,FALSE)</f>
        <v>2.3405500292568754E-3</v>
      </c>
      <c r="L32" s="31">
        <f>VLOOKUP(C32,Table6[],4,FALSE)</f>
        <v>6.0901494049126363E-2</v>
      </c>
      <c r="M32" s="3">
        <f>VLOOKUP(C32,Table6[],5,FALSE)</f>
        <v>1.4700815435856208E-2</v>
      </c>
      <c r="N32" s="30">
        <f>VLOOKUP(C32,Table5[[Store Code]:[MAT % Beanspot]],8,FALSE)</f>
        <v>952277345.63999999</v>
      </c>
      <c r="O32" s="24">
        <f>VLOOKUP(C32,Table5[[Store Code]:[MAT % Beanspot]],10,FALSE)</f>
        <v>867143920.64999998</v>
      </c>
      <c r="P32" s="24">
        <f>VLOOKUP(C32,Table5[[Store Code]:[MAT % Beanspot]],13,FALSE)</f>
        <v>85133424.99000001</v>
      </c>
      <c r="Q32" s="23">
        <f>VLOOKUP(C32,Table5[[Store Code]:[MAT % Beanspot]],15,FALSE)</f>
        <v>17.03869373477891</v>
      </c>
      <c r="R32" s="24" t="str">
        <f>VLOOKUP(C32,Table1[],6,FALSE)</f>
        <v>Invent</v>
      </c>
    </row>
    <row r="33" spans="2:18" x14ac:dyDescent="0.35">
      <c r="B33" s="2" t="s">
        <v>45</v>
      </c>
      <c r="C33" s="2" t="s">
        <v>46</v>
      </c>
      <c r="D33" s="2" t="s">
        <v>47</v>
      </c>
      <c r="E33" s="8">
        <f>VLOOKUP(C33,Table8[],6,FALSE)</f>
        <v>8</v>
      </c>
      <c r="F33" s="24">
        <f>VLOOKUP(C33,Table8[],7,FALSE)</f>
        <v>465315023.23999971</v>
      </c>
      <c r="G33" s="24">
        <f>VLOOKUP(C33,Table8[],11,FALSE)</f>
        <v>58164377.904999956</v>
      </c>
      <c r="H33" s="24">
        <f>VLOOKUP(C33,Table8[],12,FALSE)</f>
        <v>553.5</v>
      </c>
      <c r="I33" s="29">
        <f>VLOOKUP(C33,Table8[],8,FALSE)</f>
        <v>4428</v>
      </c>
      <c r="J33" s="44">
        <f>VLOOKUP(C33,Table25[[Kode Toko]:[MAT All]],3,FALSE)</f>
        <v>6.4066852367688026E-2</v>
      </c>
      <c r="K33" s="45">
        <f>VLOOKUP(C33,Table2[[#All],[Kode Toko]:[MAT Exc Beanspot]],3,FALSE)</f>
        <v>3.6464927829830338E-2</v>
      </c>
      <c r="L33" s="31">
        <f>VLOOKUP(C33,Table6[],4,FALSE)</f>
        <v>5.6268385804594104E-2</v>
      </c>
      <c r="M33" s="3">
        <f>VLOOKUP(C33,Table6[],5,FALSE)</f>
        <v>1.6303736741501443E-2</v>
      </c>
      <c r="N33" s="30">
        <f>VLOOKUP(C33,Table5[[Store Code]:[MAT % Beanspot]],8,FALSE)</f>
        <v>947458275.96000004</v>
      </c>
      <c r="O33" s="24">
        <f>VLOOKUP(C33,Table5[[Store Code]:[MAT % Beanspot]],10,FALSE)</f>
        <v>892503541.99000001</v>
      </c>
      <c r="P33" s="24">
        <f>VLOOKUP(C33,Table5[[Store Code]:[MAT % Beanspot]],13,FALSE)</f>
        <v>54954733.970000029</v>
      </c>
      <c r="Q33" s="23">
        <f>VLOOKUP(C33,Table5[[Store Code]:[MAT % Beanspot]],15,FALSE)</f>
        <v>16.353603599166139</v>
      </c>
      <c r="R33" s="24" t="str">
        <f>VLOOKUP(C33,Table1[],6,FALSE)</f>
        <v>Invent</v>
      </c>
    </row>
    <row r="34" spans="2:18" x14ac:dyDescent="0.35">
      <c r="B34" s="2" t="s">
        <v>15</v>
      </c>
      <c r="C34" s="2" t="s">
        <v>65</v>
      </c>
      <c r="D34" s="2" t="s">
        <v>66</v>
      </c>
      <c r="E34" s="8">
        <f>VLOOKUP(C34,Table8[],6,FALSE)</f>
        <v>8</v>
      </c>
      <c r="F34" s="24">
        <f>VLOOKUP(C34,Table8[],7,FALSE)</f>
        <v>325043702.50999969</v>
      </c>
      <c r="G34" s="24">
        <f>VLOOKUP(C34,Table8[],11,FALSE)</f>
        <v>40630462.813749962</v>
      </c>
      <c r="H34" s="24">
        <f>VLOOKUP(C34,Table8[],12,FALSE)</f>
        <v>359</v>
      </c>
      <c r="I34" s="29">
        <f>VLOOKUP(C34,Table8[],8,FALSE)</f>
        <v>2872</v>
      </c>
      <c r="J34" s="44">
        <f>VLOOKUP(C34,Table25[[Kode Toko]:[MAT All]],3,FALSE)</f>
        <v>5.98256735340729E-2</v>
      </c>
      <c r="K34" s="45">
        <f>VLOOKUP(C34,Table2[[#All],[Kode Toko]:[MAT Exc Beanspot]],3,FALSE)</f>
        <v>4.0015847860538828E-2</v>
      </c>
      <c r="L34" s="31">
        <f>VLOOKUP(C34,Table6[],4,FALSE)</f>
        <v>4.3179587831207067E-2</v>
      </c>
      <c r="M34" s="3">
        <f>VLOOKUP(C34,Table6[],5,FALSE)</f>
        <v>1.4320524835988753E-2</v>
      </c>
      <c r="N34" s="30">
        <f>VLOOKUP(C34,Table5[[Store Code]:[MAT % Beanspot]],8,FALSE)</f>
        <v>930121853.62</v>
      </c>
      <c r="O34" s="24">
        <f>VLOOKUP(C34,Table5[[Store Code]:[MAT % Beanspot]],10,FALSE)</f>
        <v>780109211.54999995</v>
      </c>
      <c r="P34" s="24">
        <f>VLOOKUP(C34,Table5[[Store Code]:[MAT % Beanspot]],13,FALSE)</f>
        <v>150012642.07000011</v>
      </c>
      <c r="Q34" s="23">
        <f>VLOOKUP(C34,Table5[[Store Code]:[MAT % Beanspot]],15,FALSE)</f>
        <v>22.705503704152012</v>
      </c>
      <c r="R34" s="24" t="str">
        <f>VLOOKUP(C34,Table1[],6,FALSE)</f>
        <v>Invent</v>
      </c>
    </row>
    <row r="35" spans="2:18" x14ac:dyDescent="0.35">
      <c r="B35" s="2" t="s">
        <v>127</v>
      </c>
      <c r="C35" s="2" t="s">
        <v>125</v>
      </c>
      <c r="D35" s="2" t="s">
        <v>126</v>
      </c>
      <c r="E35" s="8">
        <f>VLOOKUP(C35,Table8[],6,FALSE)</f>
        <v>8</v>
      </c>
      <c r="F35" s="24">
        <f>VLOOKUP(C35,Table8[],7,FALSE)</f>
        <v>410301687.08999979</v>
      </c>
      <c r="G35" s="24">
        <f>VLOOKUP(C35,Table8[],11,FALSE)</f>
        <v>51287710.886249967</v>
      </c>
      <c r="H35" s="24">
        <f>VLOOKUP(C35,Table8[],12,FALSE)</f>
        <v>535</v>
      </c>
      <c r="I35" s="29">
        <f>VLOOKUP(C35,Table8[],8,FALSE)</f>
        <v>4280</v>
      </c>
      <c r="J35" s="44">
        <f>VLOOKUP(C35,Table25[[Kode Toko]:[MAT All]],3,FALSE)</f>
        <v>5.1044697170060833E-2</v>
      </c>
      <c r="K35" s="45">
        <f>VLOOKUP(C35,Table2[[#All],[Kode Toko]:[MAT Exc Beanspot]],3,FALSE)</f>
        <v>3.3588997619677333E-2</v>
      </c>
      <c r="L35" s="31">
        <f>VLOOKUP(C35,Table6[],4,FALSE)</f>
        <v>5.0935476986554741E-2</v>
      </c>
      <c r="M35" s="3">
        <f>VLOOKUP(C35,Table6[],5,FALSE)</f>
        <v>1.2436289500509684E-2</v>
      </c>
      <c r="N35" s="30">
        <f>VLOOKUP(C35,Table5[[Store Code]:[MAT % Beanspot]],8,FALSE)</f>
        <v>922453340.79999995</v>
      </c>
      <c r="O35" s="24">
        <f>VLOOKUP(C35,Table5[[Store Code]:[MAT % Beanspot]],10,FALSE)</f>
        <v>746430744.35000002</v>
      </c>
      <c r="P35" s="24">
        <f>VLOOKUP(C35,Table5[[Store Code]:[MAT % Beanspot]],13,FALSE)</f>
        <v>176022596.4499999</v>
      </c>
      <c r="Q35" s="23">
        <f>VLOOKUP(C35,Table5[[Store Code]:[MAT % Beanspot]],15,FALSE)</f>
        <v>17.900983730490179</v>
      </c>
      <c r="R35" s="24" t="str">
        <f>VLOOKUP(C35,Table1[],6,FALSE)</f>
        <v>Invent</v>
      </c>
    </row>
    <row r="36" spans="2:18" x14ac:dyDescent="0.35">
      <c r="B36" s="2" t="s">
        <v>9</v>
      </c>
      <c r="C36" s="2" t="s">
        <v>7</v>
      </c>
      <c r="D36" s="2" t="s">
        <v>8</v>
      </c>
      <c r="E36" s="8">
        <f>VLOOKUP(C36,Table8[],6,FALSE)</f>
        <v>8</v>
      </c>
      <c r="F36" s="24">
        <f>VLOOKUP(C36,Table8[],7,FALSE)</f>
        <v>321843773.30999929</v>
      </c>
      <c r="G36" s="24">
        <f>VLOOKUP(C36,Table8[],11,FALSE)</f>
        <v>40230471.663749911</v>
      </c>
      <c r="H36" s="24">
        <f>VLOOKUP(C36,Table8[],12,FALSE)</f>
        <v>365.125</v>
      </c>
      <c r="I36" s="29">
        <f>VLOOKUP(C36,Table8[],8,FALSE)</f>
        <v>2921</v>
      </c>
      <c r="J36" s="44">
        <f>VLOOKUP(C36,Table25[[Kode Toko]:[MAT All]],3,FALSE)</f>
        <v>7.0455430128454649E-2</v>
      </c>
      <c r="K36" s="45">
        <f>VLOOKUP(C36,Table2[[#All],[Kode Toko]:[MAT Exc Beanspot]],3,FALSE)</f>
        <v>5.0992604126119112E-2</v>
      </c>
      <c r="L36" s="31">
        <f>VLOOKUP(C36,Table6[],4,FALSE)</f>
        <v>8.4637561779242171E-2</v>
      </c>
      <c r="M36" s="3">
        <f>VLOOKUP(C36,Table6[],5,FALSE)</f>
        <v>3.1709526796292423E-2</v>
      </c>
      <c r="N36" s="30">
        <f>VLOOKUP(C36,Table5[[Store Code]:[MAT % Beanspot]],8,FALSE)</f>
        <v>920152635.94000006</v>
      </c>
      <c r="O36" s="24">
        <f>VLOOKUP(C36,Table5[[Store Code]:[MAT % Beanspot]],10,FALSE)</f>
        <v>707073303.01999998</v>
      </c>
      <c r="P36" s="24">
        <f>VLOOKUP(C36,Table5[[Store Code]:[MAT % Beanspot]],13,FALSE)</f>
        <v>213079332.92000011</v>
      </c>
      <c r="Q36" s="23">
        <f>VLOOKUP(C36,Table5[[Store Code]:[MAT % Beanspot]],15,FALSE)</f>
        <v>23.021016708877369</v>
      </c>
      <c r="R36" s="24" t="str">
        <f>VLOOKUP(C36,Table1[],6,FALSE)</f>
        <v>Invent</v>
      </c>
    </row>
    <row r="37" spans="2:18" x14ac:dyDescent="0.35">
      <c r="B37" s="2" t="s">
        <v>45</v>
      </c>
      <c r="C37" s="2" t="s">
        <v>71</v>
      </c>
      <c r="D37" s="2" t="s">
        <v>72</v>
      </c>
      <c r="E37" s="8">
        <f>VLOOKUP(C37,Table8[],6,FALSE)</f>
        <v>8</v>
      </c>
      <c r="F37" s="24">
        <f>VLOOKUP(C37,Table8[],7,FALSE)</f>
        <v>335749149.17999989</v>
      </c>
      <c r="G37" s="24">
        <f>VLOOKUP(C37,Table8[],11,FALSE)</f>
        <v>41968643.647499993</v>
      </c>
      <c r="H37" s="24">
        <f>VLOOKUP(C37,Table8[],12,FALSE)</f>
        <v>426.25</v>
      </c>
      <c r="I37" s="29">
        <f>VLOOKUP(C37,Table8[],8,FALSE)</f>
        <v>3410</v>
      </c>
      <c r="J37" s="44">
        <f>VLOOKUP(C37,Table25[[Kode Toko]:[MAT All]],3,FALSE)</f>
        <v>6.1083743842364535E-2</v>
      </c>
      <c r="K37" s="45">
        <f>VLOOKUP(C37,Table2[[#All],[Kode Toko]:[MAT Exc Beanspot]],3,FALSE)</f>
        <v>5.8456486042692941E-2</v>
      </c>
      <c r="L37" s="31">
        <f>VLOOKUP(C37,Table6[],4,FALSE)</f>
        <v>2.8285559762033532E-2</v>
      </c>
      <c r="M37" s="3">
        <f>VLOOKUP(C37,Table6[],5,FALSE)</f>
        <v>1.4222129494401558E-2</v>
      </c>
      <c r="N37" s="30">
        <f>VLOOKUP(C37,Table5[[Store Code]:[MAT % Beanspot]],8,FALSE)</f>
        <v>919507868.69000006</v>
      </c>
      <c r="O37" s="24">
        <f>VLOOKUP(C37,Table5[[Store Code]:[MAT % Beanspot]],10,FALSE)</f>
        <v>870281260.83000004</v>
      </c>
      <c r="P37" s="24">
        <f>VLOOKUP(C37,Table5[[Store Code]:[MAT % Beanspot]],13,FALSE)</f>
        <v>49226607.860000007</v>
      </c>
      <c r="Q37" s="23">
        <f>VLOOKUP(C37,Table5[[Store Code]:[MAT % Beanspot]],15,FALSE)</f>
        <v>22.12189833222055</v>
      </c>
      <c r="R37" s="24" t="str">
        <f>VLOOKUP(C37,Table1[],6,FALSE)</f>
        <v>Invent</v>
      </c>
    </row>
    <row r="38" spans="2:18" x14ac:dyDescent="0.35">
      <c r="B38" s="2" t="s">
        <v>6</v>
      </c>
      <c r="C38" s="2" t="s">
        <v>111</v>
      </c>
      <c r="D38" s="2" t="s">
        <v>112</v>
      </c>
      <c r="E38" s="8">
        <f>VLOOKUP(C38,Table8[],6,FALSE)</f>
        <v>8</v>
      </c>
      <c r="F38" s="24">
        <f>VLOOKUP(C38,Table8[],7,FALSE)</f>
        <v>401445369.21999937</v>
      </c>
      <c r="G38" s="24">
        <f>VLOOKUP(C38,Table8[],11,FALSE)</f>
        <v>50180671.152499929</v>
      </c>
      <c r="H38" s="24">
        <f>VLOOKUP(C38,Table8[],12,FALSE)</f>
        <v>564.875</v>
      </c>
      <c r="I38" s="29">
        <f>VLOOKUP(C38,Table8[],8,FALSE)</f>
        <v>4519</v>
      </c>
      <c r="J38" s="44">
        <f>VLOOKUP(C38,Table25[[Kode Toko]:[MAT All]],3,FALSE)</f>
        <v>6.1337355455002511E-2</v>
      </c>
      <c r="K38" s="45">
        <f>VLOOKUP(C38,Table2[[#All],[Kode Toko]:[MAT Exc Beanspot]],3,FALSE)</f>
        <v>2.9914529914529916E-2</v>
      </c>
      <c r="L38" s="31">
        <f>VLOOKUP(C38,Table6[],4,FALSE)</f>
        <v>3.2974727863008466E-2</v>
      </c>
      <c r="M38" s="3">
        <f>VLOOKUP(C38,Table6[],5,FALSE)</f>
        <v>1.2043683870309258E-2</v>
      </c>
      <c r="N38" s="30">
        <f>VLOOKUP(C38,Table5[[Store Code]:[MAT % Beanspot]],8,FALSE)</f>
        <v>918778008.48000002</v>
      </c>
      <c r="O38" s="24">
        <f>VLOOKUP(C38,Table5[[Store Code]:[MAT % Beanspot]],10,FALSE)</f>
        <v>860972982.07000005</v>
      </c>
      <c r="P38" s="24">
        <f>VLOOKUP(C38,Table5[[Store Code]:[MAT % Beanspot]],13,FALSE)</f>
        <v>57805026.409999967</v>
      </c>
      <c r="Q38" s="23">
        <f>VLOOKUP(C38,Table5[[Store Code]:[MAT % Beanspot]],15,FALSE)</f>
        <v>18.252098944362839</v>
      </c>
      <c r="R38" s="24" t="str">
        <f>VLOOKUP(C38,Table1[],6,FALSE)</f>
        <v>PKM Auto</v>
      </c>
    </row>
    <row r="39" spans="2:18" x14ac:dyDescent="0.35">
      <c r="B39" s="2" t="s">
        <v>15</v>
      </c>
      <c r="C39" s="2" t="s">
        <v>48</v>
      </c>
      <c r="D39" s="2" t="s">
        <v>49</v>
      </c>
      <c r="E39" s="8">
        <f>VLOOKUP(C39,Table8[],6,FALSE)</f>
        <v>8</v>
      </c>
      <c r="F39" s="24">
        <f>VLOOKUP(C39,Table8[],7,FALSE)</f>
        <v>450727852.26999933</v>
      </c>
      <c r="G39" s="24">
        <f>VLOOKUP(C39,Table8[],11,FALSE)</f>
        <v>56340981.533749923</v>
      </c>
      <c r="H39" s="24">
        <f>VLOOKUP(C39,Table8[],12,FALSE)</f>
        <v>551.125</v>
      </c>
      <c r="I39" s="29">
        <f>VLOOKUP(C39,Table8[],8,FALSE)</f>
        <v>4409</v>
      </c>
      <c r="J39" s="44">
        <f>VLOOKUP(C39,Table25[[Kode Toko]:[MAT All]],3,FALSE)</f>
        <v>7.1156289707750953E-2</v>
      </c>
      <c r="K39" s="45">
        <f>VLOOKUP(C39,Table2[[#All],[Kode Toko]:[MAT Exc Beanspot]],3,FALSE)</f>
        <v>5.1588310038119443E-2</v>
      </c>
      <c r="L39" s="31">
        <f>VLOOKUP(C39,Table6[],4,FALSE)</f>
        <v>5.5308328035600762E-2</v>
      </c>
      <c r="M39" s="3">
        <f>VLOOKUP(C39,Table6[],5,FALSE)</f>
        <v>2.1159153633854646E-2</v>
      </c>
      <c r="N39" s="30">
        <f>VLOOKUP(C39,Table5[[Store Code]:[MAT % Beanspot]],8,FALSE)</f>
        <v>915457178.75</v>
      </c>
      <c r="O39" s="24">
        <f>VLOOKUP(C39,Table5[[Store Code]:[MAT % Beanspot]],10,FALSE)</f>
        <v>642050512.36000001</v>
      </c>
      <c r="P39" s="24">
        <f>VLOOKUP(C39,Table5[[Store Code]:[MAT % Beanspot]],13,FALSE)</f>
        <v>273406666.38999999</v>
      </c>
      <c r="Q39" s="23">
        <f>VLOOKUP(C39,Table5[[Store Code]:[MAT % Beanspot]],15,FALSE)</f>
        <v>16.204677688920679</v>
      </c>
      <c r="R39" s="24" t="str">
        <f>VLOOKUP(C39,Table1[],6,FALSE)</f>
        <v>Invent</v>
      </c>
    </row>
    <row r="40" spans="2:18" x14ac:dyDescent="0.35">
      <c r="B40" s="2" t="s">
        <v>15</v>
      </c>
      <c r="C40" s="2" t="s">
        <v>59</v>
      </c>
      <c r="D40" s="2" t="s">
        <v>60</v>
      </c>
      <c r="E40" s="8">
        <f>VLOOKUP(C40,Table8[],6,FALSE)</f>
        <v>8</v>
      </c>
      <c r="F40" s="24">
        <f>VLOOKUP(C40,Table8[],7,FALSE)</f>
        <v>298286273.31999981</v>
      </c>
      <c r="G40" s="24">
        <f>VLOOKUP(C40,Table8[],11,FALSE)</f>
        <v>37285784.164999977</v>
      </c>
      <c r="H40" s="24">
        <f>VLOOKUP(C40,Table8[],12,FALSE)</f>
        <v>348.125</v>
      </c>
      <c r="I40" s="29">
        <f>VLOOKUP(C40,Table8[],8,FALSE)</f>
        <v>2785</v>
      </c>
      <c r="J40" s="44">
        <f>VLOOKUP(C40,Table25[[Kode Toko]:[MAT All]],3,FALSE)</f>
        <v>5.0100200400801605E-2</v>
      </c>
      <c r="K40" s="45">
        <f>VLOOKUP(C40,Table2[[#All],[Kode Toko]:[MAT Exc Beanspot]],3,FALSE)</f>
        <v>2.965931863727455E-2</v>
      </c>
      <c r="L40" s="31">
        <f>VLOOKUP(C40,Table6[],4,FALSE)</f>
        <v>3.9201978920197895E-2</v>
      </c>
      <c r="M40" s="3">
        <f>VLOOKUP(C40,Table6[],5,FALSE)</f>
        <v>1.2790394152962672E-2</v>
      </c>
      <c r="N40" s="30">
        <f>VLOOKUP(C40,Table5[[Store Code]:[MAT % Beanspot]],8,FALSE)</f>
        <v>914810243.21000004</v>
      </c>
      <c r="O40" s="24">
        <f>VLOOKUP(C40,Table5[[Store Code]:[MAT % Beanspot]],10,FALSE)</f>
        <v>952656538.93999994</v>
      </c>
      <c r="P40" s="24">
        <f>VLOOKUP(C40,Table5[[Store Code]:[MAT % Beanspot]],13,FALSE)</f>
        <v>-37846295.7299999</v>
      </c>
      <c r="Q40" s="23">
        <f>VLOOKUP(C40,Table5[[Store Code]:[MAT % Beanspot]],15,FALSE)</f>
        <v>24.244202163431151</v>
      </c>
      <c r="R40" s="24" t="str">
        <f>VLOOKUP(C40,Table1[],6,FALSE)</f>
        <v>PKM Auto</v>
      </c>
    </row>
    <row r="41" spans="2:18" x14ac:dyDescent="0.35">
      <c r="B41" s="2" t="s">
        <v>6</v>
      </c>
      <c r="C41" s="2" t="s">
        <v>113</v>
      </c>
      <c r="D41" s="2" t="s">
        <v>114</v>
      </c>
      <c r="E41" s="8">
        <f>VLOOKUP(C41,Table8[],6,FALSE)</f>
        <v>8</v>
      </c>
      <c r="F41" s="24">
        <f>VLOOKUP(C41,Table8[],7,FALSE)</f>
        <v>331246522.25999987</v>
      </c>
      <c r="G41" s="24">
        <f>VLOOKUP(C41,Table8[],11,FALSE)</f>
        <v>41405815.282499976</v>
      </c>
      <c r="H41" s="24">
        <f>VLOOKUP(C41,Table8[],12,FALSE)</f>
        <v>395.25</v>
      </c>
      <c r="I41" s="29">
        <f>VLOOKUP(C41,Table8[],8,FALSE)</f>
        <v>3162</v>
      </c>
      <c r="J41" s="44">
        <f>VLOOKUP(C41,Table25[[Kode Toko]:[MAT All]],3,FALSE)</f>
        <v>4.2146974063400573E-2</v>
      </c>
      <c r="K41" s="45">
        <f>VLOOKUP(C41,Table2[[#All],[Kode Toko]:[MAT Exc Beanspot]],3,FALSE)</f>
        <v>3.5302593659942365E-2</v>
      </c>
      <c r="L41" s="31">
        <f>VLOOKUP(C41,Table6[],4,FALSE)</f>
        <v>3.021838496698832E-2</v>
      </c>
      <c r="M41" s="3">
        <f>VLOOKUP(C41,Table6[],5,FALSE)</f>
        <v>1.0932519962987079E-2</v>
      </c>
      <c r="N41" s="30">
        <f>VLOOKUP(C41,Table5[[Store Code]:[MAT % Beanspot]],8,FALSE)</f>
        <v>900132826.13</v>
      </c>
      <c r="O41" s="24">
        <f>VLOOKUP(C41,Table5[[Store Code]:[MAT % Beanspot]],10,FALSE)</f>
        <v>821638482.87</v>
      </c>
      <c r="P41" s="24">
        <f>VLOOKUP(C41,Table5[[Store Code]:[MAT % Beanspot]],13,FALSE)</f>
        <v>78494343.25999999</v>
      </c>
      <c r="Q41" s="23">
        <f>VLOOKUP(C41,Table5[[Store Code]:[MAT % Beanspot]],15,FALSE)</f>
        <v>21.86441246298067</v>
      </c>
      <c r="R41" s="24" t="str">
        <f>VLOOKUP(C41,Table1[],6,FALSE)</f>
        <v>PKM Auto</v>
      </c>
    </row>
    <row r="42" spans="2:18" x14ac:dyDescent="0.35">
      <c r="B42" s="2" t="s">
        <v>142</v>
      </c>
      <c r="C42" s="2" t="s">
        <v>140</v>
      </c>
      <c r="D42" s="2" t="s">
        <v>141</v>
      </c>
      <c r="E42" s="8">
        <f>VLOOKUP(C42,Table8[],6,FALSE)</f>
        <v>8</v>
      </c>
      <c r="F42" s="24">
        <f>VLOOKUP(C42,Table8[],7,FALSE)</f>
        <v>300228831.01999962</v>
      </c>
      <c r="G42" s="24">
        <f>VLOOKUP(C42,Table8[],11,FALSE)</f>
        <v>37528603.877499953</v>
      </c>
      <c r="H42" s="24">
        <f>VLOOKUP(C42,Table8[],12,FALSE)</f>
        <v>410.625</v>
      </c>
      <c r="I42" s="29">
        <f>VLOOKUP(C42,Table8[],8,FALSE)</f>
        <v>3285</v>
      </c>
      <c r="J42" s="44">
        <f>VLOOKUP(C42,Table25[[Kode Toko]:[MAT All]],3,FALSE)</f>
        <v>6.5158676569885207E-2</v>
      </c>
      <c r="K42" s="45">
        <f>VLOOKUP(C42,Table2[[#All],[Kode Toko]:[MAT Exc Beanspot]],3,FALSE)</f>
        <v>4.0175557056043212E-2</v>
      </c>
      <c r="L42" s="31">
        <f>VLOOKUP(C42,Table6[],4,FALSE)</f>
        <v>2.140020591263421E-2</v>
      </c>
      <c r="M42" s="3">
        <f>VLOOKUP(C42,Table6[],5,FALSE)</f>
        <v>1.6383433397781623E-2</v>
      </c>
      <c r="N42" s="30">
        <f>VLOOKUP(C42,Table5[[Store Code]:[MAT % Beanspot]],8,FALSE)</f>
        <v>898596030.67999995</v>
      </c>
      <c r="O42" s="24">
        <f>VLOOKUP(C42,Table5[[Store Code]:[MAT % Beanspot]],10,FALSE)</f>
        <v>942439403.66999996</v>
      </c>
      <c r="P42" s="24">
        <f>VLOOKUP(C42,Table5[[Store Code]:[MAT % Beanspot]],13,FALSE)</f>
        <v>-43843372.99000001</v>
      </c>
      <c r="Q42" s="23">
        <f>VLOOKUP(C42,Table5[[Store Code]:[MAT % Beanspot]],15,FALSE)</f>
        <v>23.614291765558779</v>
      </c>
      <c r="R42" s="24" t="str">
        <f>VLOOKUP(C42,Table1[],6,FALSE)</f>
        <v>-</v>
      </c>
    </row>
    <row r="43" spans="2:18" x14ac:dyDescent="0.35">
      <c r="B43" s="2" t="s">
        <v>45</v>
      </c>
      <c r="C43" s="2" t="s">
        <v>121</v>
      </c>
      <c r="D43" s="2" t="s">
        <v>122</v>
      </c>
      <c r="E43" s="8">
        <f>VLOOKUP(C43,Table8[],6,FALSE)</f>
        <v>8</v>
      </c>
      <c r="F43" s="24">
        <f>VLOOKUP(C43,Table8[],7,FALSE)</f>
        <v>419117229.83999968</v>
      </c>
      <c r="G43" s="24">
        <f>VLOOKUP(C43,Table8[],11,FALSE)</f>
        <v>52389653.729999967</v>
      </c>
      <c r="H43" s="24">
        <f>VLOOKUP(C43,Table8[],12,FALSE)</f>
        <v>571.5</v>
      </c>
      <c r="I43" s="29">
        <f>VLOOKUP(C43,Table8[],8,FALSE)</f>
        <v>4572</v>
      </c>
      <c r="J43" s="44">
        <f>VLOOKUP(C43,Table25[[Kode Toko]:[MAT All]],3,FALSE)</f>
        <v>4.4768856447688563E-2</v>
      </c>
      <c r="K43" s="45">
        <f>VLOOKUP(C43,Table2[[#All],[Kode Toko]:[MAT Exc Beanspot]],3,FALSE)</f>
        <v>2.3357664233576641E-2</v>
      </c>
      <c r="L43" s="31">
        <f>VLOOKUP(C43,Table6[],4,FALSE)</f>
        <v>6.2443916600686197E-2</v>
      </c>
      <c r="M43" s="3">
        <f>VLOOKUP(C43,Table6[],5,FALSE)</f>
        <v>3.1906588371066837E-2</v>
      </c>
      <c r="N43" s="30">
        <f>VLOOKUP(C43,Table5[[Store Code]:[MAT % Beanspot]],8,FALSE)</f>
        <v>897230273.87</v>
      </c>
      <c r="O43" s="24">
        <f>VLOOKUP(C43,Table5[[Store Code]:[MAT % Beanspot]],10,FALSE)</f>
        <v>743795026.36000001</v>
      </c>
      <c r="P43" s="24">
        <f>VLOOKUP(C43,Table5[[Store Code]:[MAT % Beanspot]],13,FALSE)</f>
        <v>153435247.50999999</v>
      </c>
      <c r="Q43" s="23">
        <f>VLOOKUP(C43,Table5[[Store Code]:[MAT % Beanspot]],15,FALSE)</f>
        <v>17.18390929944993</v>
      </c>
      <c r="R43" s="24" t="str">
        <f>VLOOKUP(C43,Table1[],6,FALSE)</f>
        <v>Invent</v>
      </c>
    </row>
    <row r="44" spans="2:18" x14ac:dyDescent="0.35">
      <c r="B44" s="2" t="s">
        <v>6</v>
      </c>
      <c r="C44" s="2" t="s">
        <v>79</v>
      </c>
      <c r="D44" s="2" t="s">
        <v>80</v>
      </c>
      <c r="E44" s="8">
        <f>VLOOKUP(C44,Table8[],6,FALSE)</f>
        <v>8</v>
      </c>
      <c r="F44" s="24">
        <f>VLOOKUP(C44,Table8[],7,FALSE)</f>
        <v>393813550.9399997</v>
      </c>
      <c r="G44" s="24">
        <f>VLOOKUP(C44,Table8[],11,FALSE)</f>
        <v>49226693.867499962</v>
      </c>
      <c r="H44" s="24">
        <f>VLOOKUP(C44,Table8[],12,FALSE)</f>
        <v>529.375</v>
      </c>
      <c r="I44" s="29">
        <f>VLOOKUP(C44,Table8[],8,FALSE)</f>
        <v>4235</v>
      </c>
      <c r="J44" s="44">
        <f>VLOOKUP(C44,Table25[[Kode Toko]:[MAT All]],3,FALSE)</f>
        <v>5.1125827814569536E-2</v>
      </c>
      <c r="K44" s="45">
        <f>VLOOKUP(C44,Table2[[#All],[Kode Toko]:[MAT Exc Beanspot]],3,FALSE)</f>
        <v>3.0728476821192053E-2</v>
      </c>
      <c r="L44" s="31">
        <f>VLOOKUP(C44,Table6[],4,FALSE)</f>
        <v>3.0343174362856423E-2</v>
      </c>
      <c r="M44" s="3">
        <f>VLOOKUP(C44,Table6[],5,FALSE)</f>
        <v>1.1592226389362428E-2</v>
      </c>
      <c r="N44" s="30">
        <f>VLOOKUP(C44,Table5[[Store Code]:[MAT % Beanspot]],8,FALSE)</f>
        <v>895203851.95000005</v>
      </c>
      <c r="O44" s="24">
        <f>VLOOKUP(C44,Table5[[Store Code]:[MAT % Beanspot]],10,FALSE)</f>
        <v>899652689.34000003</v>
      </c>
      <c r="P44" s="24">
        <f>VLOOKUP(C44,Table5[[Store Code]:[MAT % Beanspot]],13,FALSE)</f>
        <v>-4448837.3899999857</v>
      </c>
      <c r="Q44" s="23">
        <f>VLOOKUP(C44,Table5[[Store Code]:[MAT % Beanspot]],15,FALSE)</f>
        <v>18.002204088782111</v>
      </c>
      <c r="R44" s="24" t="str">
        <f>VLOOKUP(C44,Table1[],6,FALSE)</f>
        <v>PKM Auto</v>
      </c>
    </row>
    <row r="45" spans="2:18" x14ac:dyDescent="0.35">
      <c r="B45" s="2" t="s">
        <v>15</v>
      </c>
      <c r="C45" s="2" t="s">
        <v>99</v>
      </c>
      <c r="D45" s="2" t="s">
        <v>100</v>
      </c>
      <c r="E45" s="8">
        <f>VLOOKUP(C45,Table8[],6,FALSE)</f>
        <v>8</v>
      </c>
      <c r="F45" s="24">
        <f>VLOOKUP(C45,Table8[],7,FALSE)</f>
        <v>302130149.59999979</v>
      </c>
      <c r="G45" s="24">
        <f>VLOOKUP(C45,Table8[],11,FALSE)</f>
        <v>37766268.699999973</v>
      </c>
      <c r="H45" s="24">
        <f>VLOOKUP(C45,Table8[],12,FALSE)</f>
        <v>350.25</v>
      </c>
      <c r="I45" s="29">
        <f>VLOOKUP(C45,Table8[],8,FALSE)</f>
        <v>2802</v>
      </c>
      <c r="J45" s="44">
        <f>VLOOKUP(C45,Table25[[Kode Toko]:[MAT All]],3,FALSE)</f>
        <v>5.9386209645277001E-2</v>
      </c>
      <c r="K45" s="45">
        <f>VLOOKUP(C45,Table2[[#All],[Kode Toko]:[MAT Exc Beanspot]],3,FALSE)</f>
        <v>4.264647269828617E-2</v>
      </c>
      <c r="L45" s="31">
        <f>VLOOKUP(C45,Table6[],4,FALSE)</f>
        <v>3.2892918348167398E-2</v>
      </c>
      <c r="M45" s="3">
        <f>VLOOKUP(C45,Table6[],5,FALSE)</f>
        <v>1.2593511522123228E-2</v>
      </c>
      <c r="N45" s="30">
        <f>VLOOKUP(C45,Table5[[Store Code]:[MAT % Beanspot]],8,FALSE)</f>
        <v>893538127.80999994</v>
      </c>
      <c r="O45" s="24">
        <f>VLOOKUP(C45,Table5[[Store Code]:[MAT % Beanspot]],10,FALSE)</f>
        <v>824868181.57000005</v>
      </c>
      <c r="P45" s="24">
        <f>VLOOKUP(C45,Table5[[Store Code]:[MAT % Beanspot]],13,FALSE)</f>
        <v>68669946.23999989</v>
      </c>
      <c r="Q45" s="23">
        <f>VLOOKUP(C45,Table5[[Store Code]:[MAT % Beanspot]],15,FALSE)</f>
        <v>23.369764695494791</v>
      </c>
      <c r="R45" s="24" t="str">
        <f>VLOOKUP(C45,Table1[],6,FALSE)</f>
        <v>PKM Auto</v>
      </c>
    </row>
    <row r="46" spans="2:18" x14ac:dyDescent="0.35">
      <c r="B46" s="2" t="s">
        <v>15</v>
      </c>
      <c r="C46" s="2" t="s">
        <v>18</v>
      </c>
      <c r="D46" s="2" t="s">
        <v>19</v>
      </c>
      <c r="E46" s="8">
        <f>VLOOKUP(C46,Table8[],6,FALSE)</f>
        <v>8</v>
      </c>
      <c r="F46" s="24">
        <f>VLOOKUP(C46,Table8[],7,FALSE)</f>
        <v>427044710.9599998</v>
      </c>
      <c r="G46" s="24">
        <f>VLOOKUP(C46,Table8[],11,FALSE)</f>
        <v>53380588.869999968</v>
      </c>
      <c r="H46" s="24">
        <f>VLOOKUP(C46,Table8[],12,FALSE)</f>
        <v>577.125</v>
      </c>
      <c r="I46" s="29">
        <f>VLOOKUP(C46,Table8[],8,FALSE)</f>
        <v>4617</v>
      </c>
      <c r="J46" s="44">
        <f>VLOOKUP(C46,Table25[[Kode Toko]:[MAT All]],3,FALSE)</f>
        <v>6.4215686274509798E-2</v>
      </c>
      <c r="K46" s="45">
        <f>VLOOKUP(C46,Table2[[#All],[Kode Toko]:[MAT Exc Beanspot]],3,FALSE)</f>
        <v>4.0196078431372552E-2</v>
      </c>
      <c r="L46" s="31">
        <f>VLOOKUP(C46,Table6[],4,FALSE)</f>
        <v>5.3358820316766795E-2</v>
      </c>
      <c r="M46" s="3">
        <f>VLOOKUP(C46,Table6[],5,FALSE)</f>
        <v>1.7042226850975194E-2</v>
      </c>
      <c r="N46" s="30">
        <f>VLOOKUP(C46,Table5[[Store Code]:[MAT % Beanspot]],8,FALSE)</f>
        <v>885419926.09000003</v>
      </c>
      <c r="O46" s="24">
        <f>VLOOKUP(C46,Table5[[Store Code]:[MAT % Beanspot]],10,FALSE)</f>
        <v>892069705.07000005</v>
      </c>
      <c r="P46" s="24">
        <f>VLOOKUP(C46,Table5[[Store Code]:[MAT % Beanspot]],13,FALSE)</f>
        <v>-6649778.9800000191</v>
      </c>
      <c r="Q46" s="23">
        <f>VLOOKUP(C46,Table5[[Store Code]:[MAT % Beanspot]],15,FALSE)</f>
        <v>16.695197474865999</v>
      </c>
      <c r="R46" s="24" t="str">
        <f>VLOOKUP(C46,Table1[],6,FALSE)</f>
        <v>PKM Auto</v>
      </c>
    </row>
    <row r="47" spans="2:18" x14ac:dyDescent="0.35">
      <c r="B47" s="2" t="s">
        <v>15</v>
      </c>
      <c r="C47" s="2" t="s">
        <v>13</v>
      </c>
      <c r="D47" s="2" t="s">
        <v>14</v>
      </c>
      <c r="E47" s="8">
        <f>VLOOKUP(C47,Table8[],6,FALSE)</f>
        <v>8</v>
      </c>
      <c r="F47" s="24">
        <f>VLOOKUP(C47,Table8[],7,FALSE)</f>
        <v>441711046.5999999</v>
      </c>
      <c r="G47" s="24">
        <f>VLOOKUP(C47,Table8[],11,FALSE)</f>
        <v>55213880.824999988</v>
      </c>
      <c r="H47" s="24">
        <f>VLOOKUP(C47,Table8[],12,FALSE)</f>
        <v>573.25</v>
      </c>
      <c r="I47" s="29">
        <f>VLOOKUP(C47,Table8[],8,FALSE)</f>
        <v>4586</v>
      </c>
      <c r="J47" s="44">
        <f>VLOOKUP(C47,Table25[[Kode Toko]:[MAT All]],3,FALSE)</f>
        <v>5.0477824062729722E-2</v>
      </c>
      <c r="K47" s="45">
        <f>VLOOKUP(C47,Table2[[#All],[Kode Toko]:[MAT Exc Beanspot]],3,FALSE)</f>
        <v>2.3033570203381523E-2</v>
      </c>
      <c r="L47" s="31">
        <f>VLOOKUP(C47,Table6[],4,FALSE)</f>
        <v>5.2426865344582012E-2</v>
      </c>
      <c r="M47" s="3">
        <f>VLOOKUP(C47,Table6[],5,FALSE)</f>
        <v>1.862329973395286E-2</v>
      </c>
      <c r="N47" s="30">
        <f>VLOOKUP(C47,Table5[[Store Code]:[MAT % Beanspot]],8,FALSE)</f>
        <v>884451093.17999995</v>
      </c>
      <c r="O47" s="24">
        <f>VLOOKUP(C47,Table5[[Store Code]:[MAT % Beanspot]],10,FALSE)</f>
        <v>895290017.44000006</v>
      </c>
      <c r="P47" s="24">
        <f>VLOOKUP(C47,Table5[[Store Code]:[MAT % Beanspot]],13,FALSE)</f>
        <v>-10838924.26000011</v>
      </c>
      <c r="Q47" s="23">
        <f>VLOOKUP(C47,Table5[[Store Code]:[MAT % Beanspot]],15,FALSE)</f>
        <v>15.93762887868157</v>
      </c>
      <c r="R47" s="24" t="str">
        <f>VLOOKUP(C47,Table1[],6,FALSE)</f>
        <v>PKM Auto</v>
      </c>
    </row>
    <row r="48" spans="2:18" x14ac:dyDescent="0.35">
      <c r="B48" s="2" t="s">
        <v>45</v>
      </c>
      <c r="C48" s="2" t="s">
        <v>81</v>
      </c>
      <c r="D48" s="2" t="s">
        <v>82</v>
      </c>
      <c r="E48" s="8">
        <f>VLOOKUP(C48,Table8[],6,FALSE)</f>
        <v>8</v>
      </c>
      <c r="F48" s="24">
        <f>VLOOKUP(C48,Table8[],7,FALSE)</f>
        <v>375197668.28999972</v>
      </c>
      <c r="G48" s="24">
        <f>VLOOKUP(C48,Table8[],11,FALSE)</f>
        <v>46899708.536249973</v>
      </c>
      <c r="H48" s="24">
        <f>VLOOKUP(C48,Table8[],12,FALSE)</f>
        <v>434.875</v>
      </c>
      <c r="I48" s="29">
        <f>VLOOKUP(C48,Table8[],8,FALSE)</f>
        <v>3479</v>
      </c>
      <c r="J48" s="44">
        <f>VLOOKUP(C48,Table25[[Kode Toko]:[MAT All]],3,FALSE)</f>
        <v>6.175619170151174E-2</v>
      </c>
      <c r="K48" s="45">
        <f>VLOOKUP(C48,Table2[[#All],[Kode Toko]:[MAT Exc Beanspot]],3,FALSE)</f>
        <v>3.7311032486330012E-2</v>
      </c>
      <c r="L48" s="31">
        <f>VLOOKUP(C48,Table6[],4,FALSE)</f>
        <v>4.5736034060121278E-2</v>
      </c>
      <c r="M48" s="3">
        <f>VLOOKUP(C48,Table6[],5,FALSE)</f>
        <v>1.7700489092461764E-2</v>
      </c>
      <c r="N48" s="30">
        <f>VLOOKUP(C48,Table5[[Store Code]:[MAT % Beanspot]],8,FALSE)</f>
        <v>882775102.53999996</v>
      </c>
      <c r="O48" s="24">
        <f>VLOOKUP(C48,Table5[[Store Code]:[MAT % Beanspot]],10,FALSE)</f>
        <v>917046671.85000002</v>
      </c>
      <c r="P48" s="24">
        <f>VLOOKUP(C48,Table5[[Store Code]:[MAT % Beanspot]],13,FALSE)</f>
        <v>-34271569.310000062</v>
      </c>
      <c r="Q48" s="23">
        <f>VLOOKUP(C48,Table5[[Store Code]:[MAT % Beanspot]],15,FALSE)</f>
        <v>18.618650606766568</v>
      </c>
      <c r="R48" s="24" t="str">
        <f>VLOOKUP(C48,Table1[],6,FALSE)</f>
        <v>Invent</v>
      </c>
    </row>
    <row r="49" spans="2:18" x14ac:dyDescent="0.35">
      <c r="B49" s="2" t="s">
        <v>127</v>
      </c>
      <c r="C49" s="2" t="s">
        <v>132</v>
      </c>
      <c r="D49" s="2" t="s">
        <v>133</v>
      </c>
      <c r="E49" s="8">
        <f>VLOOKUP(C49,Table8[],6,FALSE)</f>
        <v>8</v>
      </c>
      <c r="F49" s="24">
        <f>VLOOKUP(C49,Table8[],7,FALSE)</f>
        <v>345947873.21999967</v>
      </c>
      <c r="G49" s="24">
        <f>VLOOKUP(C49,Table8[],11,FALSE)</f>
        <v>43243484.152499959</v>
      </c>
      <c r="H49" s="24">
        <f>VLOOKUP(C49,Table8[],12,FALSE)</f>
        <v>510.75</v>
      </c>
      <c r="I49" s="29">
        <f>VLOOKUP(C49,Table8[],8,FALSE)</f>
        <v>4086</v>
      </c>
      <c r="J49" s="44">
        <f>VLOOKUP(C49,Table25[[Kode Toko]:[MAT All]],3,FALSE)</f>
        <v>2.3652365236523653E-2</v>
      </c>
      <c r="K49" s="45">
        <f>VLOOKUP(C49,Table2[[#All],[Kode Toko]:[MAT Exc Beanspot]],3,FALSE)</f>
        <v>2.3652365236523653E-2</v>
      </c>
      <c r="L49" s="31">
        <f>VLOOKUP(C49,Table6[],4,FALSE)</f>
        <v>5.6586336816663113E-2</v>
      </c>
      <c r="M49" s="3">
        <f>VLOOKUP(C49,Table6[],5,FALSE)</f>
        <v>1.3965517241379311E-2</v>
      </c>
      <c r="N49" s="30">
        <f>VLOOKUP(C49,Table5[[Store Code]:[MAT % Beanspot]],8,FALSE)</f>
        <v>881242961.11000001</v>
      </c>
      <c r="O49" s="24">
        <f>VLOOKUP(C49,Table5[[Store Code]:[MAT % Beanspot]],10,FALSE)</f>
        <v>677899816.01999998</v>
      </c>
      <c r="P49" s="24">
        <f>VLOOKUP(C49,Table5[[Store Code]:[MAT % Beanspot]],13,FALSE)</f>
        <v>203343145.09</v>
      </c>
      <c r="Q49" s="23">
        <f>VLOOKUP(C49,Table5[[Store Code]:[MAT % Beanspot]],15,FALSE)</f>
        <v>20.191601201472249</v>
      </c>
      <c r="R49" s="24" t="str">
        <f>VLOOKUP(C49,Table1[],6,FALSE)</f>
        <v>Invent</v>
      </c>
    </row>
    <row r="50" spans="2:18" x14ac:dyDescent="0.35">
      <c r="B50" s="2" t="s">
        <v>52</v>
      </c>
      <c r="C50" s="2" t="s">
        <v>50</v>
      </c>
      <c r="D50" s="2" t="s">
        <v>51</v>
      </c>
      <c r="E50" s="8">
        <f>VLOOKUP(C50,Table8[],6,FALSE)</f>
        <v>8</v>
      </c>
      <c r="F50" s="24">
        <f>VLOOKUP(C50,Table8[],7,FALSE)</f>
        <v>336872157.54000002</v>
      </c>
      <c r="G50" s="24">
        <f>VLOOKUP(C50,Table8[],11,FALSE)</f>
        <v>42109019.692500003</v>
      </c>
      <c r="H50" s="24">
        <f>VLOOKUP(C50,Table8[],12,FALSE)</f>
        <v>408.375</v>
      </c>
      <c r="I50" s="29">
        <f>VLOOKUP(C50,Table8[],8,FALSE)</f>
        <v>3267</v>
      </c>
      <c r="J50" s="44">
        <f>VLOOKUP(C50,Table25[[Kode Toko]:[MAT All]],3,FALSE)</f>
        <v>7.5375170532060026E-2</v>
      </c>
      <c r="K50" s="45">
        <f>VLOOKUP(C50,Table2[[#All],[Kode Toko]:[MAT Exc Beanspot]],3,FALSE)</f>
        <v>5.0818553888130967E-2</v>
      </c>
      <c r="L50" s="31">
        <f>VLOOKUP(C50,Table6[],4,FALSE)</f>
        <v>3.7685774946921442E-2</v>
      </c>
      <c r="M50" s="3">
        <f>VLOOKUP(C50,Table6[],5,FALSE)</f>
        <v>1.5838454784899033E-2</v>
      </c>
      <c r="N50" s="30">
        <f>VLOOKUP(C50,Table5[[Store Code]:[MAT % Beanspot]],8,FALSE)</f>
        <v>857802379.57000005</v>
      </c>
      <c r="O50" s="24">
        <f>VLOOKUP(C50,Table5[[Store Code]:[MAT % Beanspot]],10,FALSE)</f>
        <v>747537366.84000003</v>
      </c>
      <c r="P50" s="24">
        <f>VLOOKUP(C50,Table5[[Store Code]:[MAT % Beanspot]],13,FALSE)</f>
        <v>110265012.73</v>
      </c>
      <c r="Q50" s="23">
        <f>VLOOKUP(C50,Table5[[Store Code]:[MAT % Beanspot]],15,FALSE)</f>
        <v>20.098382916053222</v>
      </c>
      <c r="R50" s="24" t="str">
        <f>VLOOKUP(C50,Table1[],6,FALSE)</f>
        <v>Invent</v>
      </c>
    </row>
    <row r="51" spans="2:18" x14ac:dyDescent="0.35">
      <c r="B51" s="2" t="s">
        <v>15</v>
      </c>
      <c r="C51" s="2" t="s">
        <v>41</v>
      </c>
      <c r="D51" s="2" t="s">
        <v>42</v>
      </c>
      <c r="E51" s="8">
        <f>VLOOKUP(C51,Table8[],6,FALSE)</f>
        <v>8</v>
      </c>
      <c r="F51" s="24">
        <f>VLOOKUP(C51,Table8[],7,FALSE)</f>
        <v>357473976.24999958</v>
      </c>
      <c r="G51" s="24">
        <f>VLOOKUP(C51,Table8[],11,FALSE)</f>
        <v>44684247.031249948</v>
      </c>
      <c r="H51" s="24">
        <f>VLOOKUP(C51,Table8[],12,FALSE)</f>
        <v>380.125</v>
      </c>
      <c r="I51" s="29">
        <f>VLOOKUP(C51,Table8[],8,FALSE)</f>
        <v>3041</v>
      </c>
      <c r="J51" s="44">
        <f>VLOOKUP(C51,Table25[[Kode Toko]:[MAT All]],3,FALSE)</f>
        <v>7.0272259013980862E-2</v>
      </c>
      <c r="K51" s="45">
        <f>VLOOKUP(C51,Table2[[#All],[Kode Toko]:[MAT Exc Beanspot]],3,FALSE)</f>
        <v>4.3046357615894038E-2</v>
      </c>
      <c r="L51" s="31">
        <f>VLOOKUP(C51,Table6[],4,FALSE)</f>
        <v>4.6001458434613514E-2</v>
      </c>
      <c r="M51" s="3">
        <f>VLOOKUP(C51,Table6[],5,FALSE)</f>
        <v>1.1938470957373536E-2</v>
      </c>
      <c r="N51" s="30">
        <f>VLOOKUP(C51,Table5[[Store Code]:[MAT % Beanspot]],8,FALSE)</f>
        <v>840816675.12</v>
      </c>
      <c r="O51" s="24">
        <f>VLOOKUP(C51,Table5[[Store Code]:[MAT % Beanspot]],10,FALSE)</f>
        <v>826658808.96000004</v>
      </c>
      <c r="P51" s="24">
        <f>VLOOKUP(C51,Table5[[Store Code]:[MAT % Beanspot]],13,FALSE)</f>
        <v>14157866.15999997</v>
      </c>
      <c r="Q51" s="23">
        <f>VLOOKUP(C51,Table5[[Store Code]:[MAT % Beanspot]],15,FALSE)</f>
        <v>18.492731440906031</v>
      </c>
      <c r="R51" s="24" t="str">
        <f>VLOOKUP(C51,Table1[],6,FALSE)</f>
        <v>Invent</v>
      </c>
    </row>
    <row r="52" spans="2:18" x14ac:dyDescent="0.35">
      <c r="B52" s="2" t="s">
        <v>6</v>
      </c>
      <c r="C52" s="2" t="s">
        <v>130</v>
      </c>
      <c r="D52" s="2" t="s">
        <v>131</v>
      </c>
      <c r="E52" s="8">
        <f>VLOOKUP(C52,Table8[],6,FALSE)</f>
        <v>8</v>
      </c>
      <c r="F52" s="24">
        <f>VLOOKUP(C52,Table8[],7,FALSE)</f>
        <v>470808352.11000001</v>
      </c>
      <c r="G52" s="24">
        <f>VLOOKUP(C52,Table8[],11,FALSE)</f>
        <v>58851044.013750002</v>
      </c>
      <c r="H52" s="24">
        <f>VLOOKUP(C52,Table8[],12,FALSE)</f>
        <v>555.125</v>
      </c>
      <c r="I52" s="29">
        <f>VLOOKUP(C52,Table8[],8,FALSE)</f>
        <v>4441</v>
      </c>
      <c r="J52" s="44">
        <f>VLOOKUP(C52,Table25[[Kode Toko]:[MAT All]],3,FALSE)</f>
        <v>6.1317183951551855E-2</v>
      </c>
      <c r="K52" s="45">
        <f>VLOOKUP(C52,Table2[[#All],[Kode Toko]:[MAT Exc Beanspot]],3,FALSE)</f>
        <v>3.3055765833964169E-2</v>
      </c>
      <c r="L52" s="31">
        <f>VLOOKUP(C52,Table6[],4,FALSE)</f>
        <v>3.366685545277201E-2</v>
      </c>
      <c r="M52" s="3">
        <f>VLOOKUP(C52,Table6[],5,FALSE)</f>
        <v>1.5070542967079948E-2</v>
      </c>
      <c r="N52" s="30">
        <f>VLOOKUP(C52,Table5[[Store Code]:[MAT % Beanspot]],8,FALSE)</f>
        <v>834027746.05999994</v>
      </c>
      <c r="O52" s="24">
        <f>VLOOKUP(C52,Table5[[Store Code]:[MAT % Beanspot]],10,FALSE)</f>
        <v>829804614.50999999</v>
      </c>
      <c r="P52" s="24">
        <f>VLOOKUP(C52,Table5[[Store Code]:[MAT % Beanspot]],13,FALSE)</f>
        <v>4223131.5499999523</v>
      </c>
      <c r="Q52" s="23">
        <f>VLOOKUP(C52,Table5[[Store Code]:[MAT % Beanspot]],15,FALSE)</f>
        <v>14.133953556790731</v>
      </c>
      <c r="R52" s="24" t="str">
        <f>VLOOKUP(C52,Table1[],6,FALSE)</f>
        <v>PKM Auto</v>
      </c>
    </row>
    <row r="53" spans="2:18" x14ac:dyDescent="0.35">
      <c r="B53" s="2" t="s">
        <v>87</v>
      </c>
      <c r="C53" s="2" t="s">
        <v>85</v>
      </c>
      <c r="D53" s="2" t="s">
        <v>86</v>
      </c>
      <c r="E53" s="8">
        <f>VLOOKUP(C53,Table8[],6,FALSE)</f>
        <v>8</v>
      </c>
      <c r="F53" s="24">
        <f>VLOOKUP(C53,Table8[],7,FALSE)</f>
        <v>373042153.06999952</v>
      </c>
      <c r="G53" s="24">
        <f>VLOOKUP(C53,Table8[],11,FALSE)</f>
        <v>46630269.13374994</v>
      </c>
      <c r="H53" s="24">
        <f>VLOOKUP(C53,Table8[],12,FALSE)</f>
        <v>479.75</v>
      </c>
      <c r="I53" s="29">
        <f>VLOOKUP(C53,Table8[],8,FALSE)</f>
        <v>3838</v>
      </c>
      <c r="J53" s="44">
        <f>VLOOKUP(C53,Table25[[Kode Toko]:[MAT All]],3,FALSE)</f>
        <v>4.5980421239988134E-2</v>
      </c>
      <c r="K53" s="45">
        <f>VLOOKUP(C53,Table2[[#All],[Kode Toko]:[MAT Exc Beanspot]],3,FALSE)</f>
        <v>3.7674280628893504E-2</v>
      </c>
      <c r="L53" s="31">
        <f>VLOOKUP(C53,Table6[],4,FALSE)</f>
        <v>5.2781289506953225E-2</v>
      </c>
      <c r="M53" s="3">
        <f>VLOOKUP(C53,Table6[],5,FALSE)</f>
        <v>1.35933604289764E-2</v>
      </c>
      <c r="N53" s="30">
        <f>VLOOKUP(C53,Table5[[Store Code]:[MAT % Beanspot]],8,FALSE)</f>
        <v>830479935.40999997</v>
      </c>
      <c r="O53" s="24">
        <f>VLOOKUP(C53,Table5[[Store Code]:[MAT % Beanspot]],10,FALSE)</f>
        <v>793155060.94000006</v>
      </c>
      <c r="P53" s="24">
        <f>VLOOKUP(C53,Table5[[Store Code]:[MAT % Beanspot]],13,FALSE)</f>
        <v>37324874.469999909</v>
      </c>
      <c r="Q53" s="23">
        <f>VLOOKUP(C53,Table5[[Store Code]:[MAT % Beanspot]],15,FALSE)</f>
        <v>17.616423106538551</v>
      </c>
      <c r="R53" s="24" t="str">
        <f>VLOOKUP(C53,Table1[],6,FALSE)</f>
        <v>PKM Auto</v>
      </c>
    </row>
    <row r="54" spans="2:18" x14ac:dyDescent="0.35">
      <c r="B54" s="2" t="s">
        <v>9</v>
      </c>
      <c r="C54" s="2" t="s">
        <v>22</v>
      </c>
      <c r="D54" s="2" t="s">
        <v>23</v>
      </c>
      <c r="E54" s="8">
        <f>VLOOKUP(C54,Table8[],6,FALSE)</f>
        <v>8</v>
      </c>
      <c r="F54" s="24">
        <f>VLOOKUP(C54,Table8[],7,FALSE)</f>
        <v>278708166.46999967</v>
      </c>
      <c r="G54" s="24">
        <f>VLOOKUP(C54,Table8[],11,FALSE)</f>
        <v>34838520.808749959</v>
      </c>
      <c r="H54" s="24">
        <f>VLOOKUP(C54,Table8[],12,FALSE)</f>
        <v>325.5</v>
      </c>
      <c r="I54" s="29">
        <f>VLOOKUP(C54,Table8[],8,FALSE)</f>
        <v>2604</v>
      </c>
      <c r="J54" s="44">
        <f>VLOOKUP(C54,Table25[[Kode Toko]:[MAT All]],3,FALSE)</f>
        <v>5.3241734650064404E-2</v>
      </c>
      <c r="K54" s="45">
        <f>VLOOKUP(C54,Table2[[#All],[Kode Toko]:[MAT Exc Beanspot]],3,FALSE)</f>
        <v>3.6066981537140406E-2</v>
      </c>
      <c r="L54" s="31">
        <f>VLOOKUP(C54,Table6[],4,FALSE)</f>
        <v>6.5010570824524314E-2</v>
      </c>
      <c r="M54" s="3">
        <f>VLOOKUP(C54,Table6[],5,FALSE)</f>
        <v>2.4451673837758422E-2</v>
      </c>
      <c r="N54" s="30">
        <f>VLOOKUP(C54,Table5[[Store Code]:[MAT % Beanspot]],8,FALSE)</f>
        <v>826267899.40999997</v>
      </c>
      <c r="O54" s="24">
        <f>VLOOKUP(C54,Table5[[Store Code]:[MAT % Beanspot]],10,FALSE)</f>
        <v>635156140.55999994</v>
      </c>
      <c r="P54" s="24">
        <f>VLOOKUP(C54,Table5[[Store Code]:[MAT % Beanspot]],13,FALSE)</f>
        <v>191111758.84999999</v>
      </c>
      <c r="Q54" s="23">
        <f>VLOOKUP(C54,Table5[[Store Code]:[MAT % Beanspot]],15,FALSE)</f>
        <v>23.29412344230294</v>
      </c>
      <c r="R54" s="24" t="str">
        <f>VLOOKUP(C54,Table1[],6,FALSE)</f>
        <v>Invent</v>
      </c>
    </row>
    <row r="55" spans="2:18" x14ac:dyDescent="0.35">
      <c r="B55" s="2" t="s">
        <v>15</v>
      </c>
      <c r="C55" s="2" t="s">
        <v>143</v>
      </c>
      <c r="D55" s="2" t="s">
        <v>144</v>
      </c>
      <c r="E55" s="8">
        <f>VLOOKUP(C55,Table8[],6,FALSE)</f>
        <v>8</v>
      </c>
      <c r="F55" s="24">
        <f>VLOOKUP(C55,Table8[],7,FALSE)</f>
        <v>517217168.10999942</v>
      </c>
      <c r="G55" s="24">
        <f>VLOOKUP(C55,Table8[],11,FALSE)</f>
        <v>64652146.01374992</v>
      </c>
      <c r="H55" s="24">
        <f>VLOOKUP(C55,Table8[],12,FALSE)</f>
        <v>594.75</v>
      </c>
      <c r="I55" s="29">
        <f>VLOOKUP(C55,Table8[],8,FALSE)</f>
        <v>4758</v>
      </c>
      <c r="J55" s="44">
        <f>VLOOKUP(C55,Table25[[Kode Toko]:[MAT All]],3,FALSE)</f>
        <v>6.890835898650248E-2</v>
      </c>
      <c r="K55" s="45">
        <f>VLOOKUP(C55,Table2[[#All],[Kode Toko]:[MAT Exc Beanspot]],3,FALSE)</f>
        <v>5.8252427184466021E-2</v>
      </c>
      <c r="L55" s="31">
        <f>VLOOKUP(C55,Table6[],4,FALSE)</f>
        <v>4.74967103201955E-2</v>
      </c>
      <c r="M55" s="3">
        <f>VLOOKUP(C55,Table6[],5,FALSE)</f>
        <v>2.6118082051685483E-2</v>
      </c>
      <c r="N55" s="30">
        <f>VLOOKUP(C55,Table5[[Store Code]:[MAT % Beanspot]],8,FALSE)</f>
        <v>823737165.95000005</v>
      </c>
      <c r="O55" s="24">
        <f>VLOOKUP(C55,Table5[[Store Code]:[MAT % Beanspot]],10,FALSE)</f>
        <v>994506641.73000002</v>
      </c>
      <c r="P55" s="24">
        <f>VLOOKUP(C55,Table5[[Store Code]:[MAT % Beanspot]],13,FALSE)</f>
        <v>-170769475.78</v>
      </c>
      <c r="Q55" s="23">
        <f>VLOOKUP(C55,Table5[[Store Code]:[MAT % Beanspot]],15,FALSE)</f>
        <v>12.65364669850916</v>
      </c>
      <c r="R55" s="24" t="str">
        <f>VLOOKUP(C55,Table1[],6,FALSE)</f>
        <v>-</v>
      </c>
    </row>
    <row r="56" spans="2:18" x14ac:dyDescent="0.35">
      <c r="B56" s="2" t="s">
        <v>15</v>
      </c>
      <c r="C56" s="2" t="s">
        <v>57</v>
      </c>
      <c r="D56" s="2" t="s">
        <v>58</v>
      </c>
      <c r="E56" s="8">
        <f>VLOOKUP(C56,Table8[],6,FALSE)</f>
        <v>8</v>
      </c>
      <c r="F56" s="24">
        <f>VLOOKUP(C56,Table8[],7,FALSE)</f>
        <v>268855144.7499997</v>
      </c>
      <c r="G56" s="24">
        <f>VLOOKUP(C56,Table8[],11,FALSE)</f>
        <v>33606893.093749963</v>
      </c>
      <c r="H56" s="24">
        <f>VLOOKUP(C56,Table8[],12,FALSE)</f>
        <v>323.375</v>
      </c>
      <c r="I56" s="29">
        <f>VLOOKUP(C56,Table8[],8,FALSE)</f>
        <v>2587</v>
      </c>
      <c r="J56" s="44">
        <f>VLOOKUP(C56,Table25[[Kode Toko]:[MAT All]],3,FALSE)</f>
        <v>7.5871195412439349E-2</v>
      </c>
      <c r="K56" s="45">
        <f>VLOOKUP(C56,Table2[[#All],[Kode Toko]:[MAT Exc Beanspot]],3,FALSE)</f>
        <v>4.631671812968681E-2</v>
      </c>
      <c r="L56" s="31">
        <f>VLOOKUP(C56,Table6[],4,FALSE)</f>
        <v>4.4818778885915837E-2</v>
      </c>
      <c r="M56" s="3">
        <f>VLOOKUP(C56,Table6[],5,FALSE)</f>
        <v>1.5728192403130368E-2</v>
      </c>
      <c r="N56" s="30">
        <f>VLOOKUP(C56,Table5[[Store Code]:[MAT % Beanspot]],8,FALSE)</f>
        <v>820939498.61000001</v>
      </c>
      <c r="O56" s="24">
        <f>VLOOKUP(C56,Table5[[Store Code]:[MAT % Beanspot]],10,FALSE)</f>
        <v>779189244.36000001</v>
      </c>
      <c r="P56" s="24">
        <f>VLOOKUP(C56,Table5[[Store Code]:[MAT % Beanspot]],13,FALSE)</f>
        <v>41750254.25</v>
      </c>
      <c r="Q56" s="23">
        <f>VLOOKUP(C56,Table5[[Store Code]:[MAT % Beanspot]],15,FALSE)</f>
        <v>24.670994314344188</v>
      </c>
      <c r="R56" s="24" t="str">
        <f>VLOOKUP(C56,Table1[],6,FALSE)</f>
        <v>Invent</v>
      </c>
    </row>
    <row r="57" spans="2:18" x14ac:dyDescent="0.35">
      <c r="B57" s="2" t="s">
        <v>15</v>
      </c>
      <c r="C57" s="2" t="s">
        <v>20</v>
      </c>
      <c r="D57" s="2" t="s">
        <v>21</v>
      </c>
      <c r="E57" s="8">
        <f>VLOOKUP(C57,Table8[],6,FALSE)</f>
        <v>8</v>
      </c>
      <c r="F57" s="24">
        <f>VLOOKUP(C57,Table8[],7,FALSE)</f>
        <v>408377586.1699993</v>
      </c>
      <c r="G57" s="24">
        <f>VLOOKUP(C57,Table8[],11,FALSE)</f>
        <v>51047198.271249913</v>
      </c>
      <c r="H57" s="24">
        <f>VLOOKUP(C57,Table8[],12,FALSE)</f>
        <v>516.25</v>
      </c>
      <c r="I57" s="29">
        <f>VLOOKUP(C57,Table8[],8,FALSE)</f>
        <v>4130</v>
      </c>
      <c r="J57" s="44">
        <f>VLOOKUP(C57,Table25[[Kode Toko]:[MAT All]],3,FALSE)</f>
        <v>8.6863270777479892E-2</v>
      </c>
      <c r="K57" s="45">
        <f>VLOOKUP(C57,Table2[[#All],[Kode Toko]:[MAT Exc Beanspot]],3,FALSE)</f>
        <v>3.7801608579088472E-2</v>
      </c>
      <c r="L57" s="31">
        <f>VLOOKUP(C57,Table6[],4,FALSE)</f>
        <v>4.6237375211629399E-2</v>
      </c>
      <c r="M57" s="3">
        <f>VLOOKUP(C57,Table6[],5,FALSE)</f>
        <v>1.6697094173132511E-2</v>
      </c>
      <c r="N57" s="30">
        <f>VLOOKUP(C57,Table5[[Store Code]:[MAT % Beanspot]],8,FALSE)</f>
        <v>820615240.10000002</v>
      </c>
      <c r="O57" s="24">
        <f>VLOOKUP(C57,Table5[[Store Code]:[MAT % Beanspot]],10,FALSE)</f>
        <v>926969412.71000004</v>
      </c>
      <c r="P57" s="24">
        <f>VLOOKUP(C57,Table5[[Store Code]:[MAT % Beanspot]],13,FALSE)</f>
        <v>-106354172.61</v>
      </c>
      <c r="Q57" s="23">
        <f>VLOOKUP(C57,Table5[[Store Code]:[MAT % Beanspot]],15,FALSE)</f>
        <v>15.83543478453486</v>
      </c>
      <c r="R57" s="24" t="str">
        <f>VLOOKUP(C57,Table1[],6,FALSE)</f>
        <v>PKM Auto</v>
      </c>
    </row>
    <row r="58" spans="2:18" x14ac:dyDescent="0.35">
      <c r="B58" s="2" t="s">
        <v>37</v>
      </c>
      <c r="C58" s="43" t="s">
        <v>35</v>
      </c>
      <c r="D58" s="43" t="s">
        <v>36</v>
      </c>
      <c r="E58" s="8">
        <f>VLOOKUP(C58,Table8[],6,FALSE)</f>
        <v>8</v>
      </c>
      <c r="F58" s="24">
        <f>VLOOKUP(C58,Table8[],7,FALSE)</f>
        <v>350920729.60999972</v>
      </c>
      <c r="G58" s="24">
        <f>VLOOKUP(C58,Table8[],11,FALSE)</f>
        <v>43865091.201249957</v>
      </c>
      <c r="H58" s="24">
        <f>VLOOKUP(C58,Table8[],12,FALSE)</f>
        <v>426.75</v>
      </c>
      <c r="I58" s="29">
        <f>VLOOKUP(C58,Table8[],8,FALSE)</f>
        <v>3414</v>
      </c>
      <c r="J58" s="44">
        <f>VLOOKUP(C58,Table25[[Kode Toko]:[MAT All]],3,FALSE)</f>
        <v>7.1523178807947022E-2</v>
      </c>
      <c r="K58" s="45">
        <f>VLOOKUP(C58,Table2[[#All],[Kode Toko]:[MAT Exc Beanspot]],3,FALSE)</f>
        <v>3.4768211920529798E-2</v>
      </c>
      <c r="L58" s="31">
        <f>VLOOKUP(C58,Table6[],4,FALSE)</f>
        <v>8.6874999999999994E-2</v>
      </c>
      <c r="M58" s="3">
        <f>VLOOKUP(C58,Table6[],5,FALSE)</f>
        <v>3.1307097680955728E-2</v>
      </c>
      <c r="N58" s="30">
        <f>VLOOKUP(C58,Table5[[Store Code]:[MAT % Beanspot]],8,FALSE)</f>
        <v>819524007</v>
      </c>
      <c r="O58" s="24">
        <f>VLOOKUP(C58,Table5[[Store Code]:[MAT % Beanspot]],10,FALSE)</f>
        <v>727930909</v>
      </c>
      <c r="P58" s="24">
        <f>VLOOKUP(C58,Table5[[Store Code]:[MAT % Beanspot]],13,FALSE)</f>
        <v>91593098</v>
      </c>
      <c r="Q58" s="23">
        <f>VLOOKUP(C58,Table5[[Store Code]:[MAT % Beanspot]],15,FALSE)</f>
        <v>18.732440505189189</v>
      </c>
      <c r="R58" s="24" t="str">
        <f>VLOOKUP(C58,Table1[],6,FALSE)</f>
        <v>Invent</v>
      </c>
    </row>
    <row r="59" spans="2:18" x14ac:dyDescent="0.35">
      <c r="B59" s="2" t="s">
        <v>15</v>
      </c>
      <c r="C59" s="2" t="s">
        <v>117</v>
      </c>
      <c r="D59" s="2" t="s">
        <v>118</v>
      </c>
      <c r="E59" s="8">
        <f>VLOOKUP(C59,Table8[],6,FALSE)</f>
        <v>8</v>
      </c>
      <c r="F59" s="24">
        <f>VLOOKUP(C59,Table8[],7,FALSE)</f>
        <v>311395865.95999968</v>
      </c>
      <c r="G59" s="24">
        <f>VLOOKUP(C59,Table8[],11,FALSE)</f>
        <v>38924483.24499996</v>
      </c>
      <c r="H59" s="24">
        <f>VLOOKUP(C59,Table8[],12,FALSE)</f>
        <v>416.625</v>
      </c>
      <c r="I59" s="29">
        <f>VLOOKUP(C59,Table8[],8,FALSE)</f>
        <v>3333</v>
      </c>
      <c r="J59" s="44">
        <f>VLOOKUP(C59,Table25[[Kode Toko]:[MAT All]],3,FALSE)</f>
        <v>0.11246081504702195</v>
      </c>
      <c r="K59" s="45">
        <f>VLOOKUP(C59,Table2[[#All],[Kode Toko]:[MAT Exc Beanspot]],3,FALSE)</f>
        <v>9.3260188087774296E-2</v>
      </c>
      <c r="L59" s="31">
        <f>VLOOKUP(C59,Table6[],4,FALSE)</f>
        <v>5.5144316290813108E-2</v>
      </c>
      <c r="M59" s="3">
        <f>VLOOKUP(C59,Table6[],5,FALSE)</f>
        <v>1.5941615362661556E-2</v>
      </c>
      <c r="N59" s="30">
        <f>VLOOKUP(C59,Table5[[Store Code]:[MAT % Beanspot]],8,FALSE)</f>
        <v>795003371.97000003</v>
      </c>
      <c r="O59" s="24">
        <f>VLOOKUP(C59,Table5[[Store Code]:[MAT % Beanspot]],10,FALSE)</f>
        <v>737680515.26999998</v>
      </c>
      <c r="P59" s="24">
        <f>VLOOKUP(C59,Table5[[Store Code]:[MAT % Beanspot]],13,FALSE)</f>
        <v>57322856.700000048</v>
      </c>
      <c r="Q59" s="23">
        <f>VLOOKUP(C59,Table5[[Store Code]:[MAT % Beanspot]],15,FALSE)</f>
        <v>21.062248246573969</v>
      </c>
      <c r="R59" s="24" t="str">
        <f>VLOOKUP(C59,Table1[],6,FALSE)</f>
        <v>Invent</v>
      </c>
    </row>
    <row r="60" spans="2:18" x14ac:dyDescent="0.35">
      <c r="B60" s="2" t="s">
        <v>15</v>
      </c>
      <c r="C60" s="2" t="s">
        <v>123</v>
      </c>
      <c r="D60" s="2" t="s">
        <v>124</v>
      </c>
      <c r="E60" s="8">
        <f>VLOOKUP(C60,Table8[],6,FALSE)</f>
        <v>8</v>
      </c>
      <c r="F60" s="24">
        <f>VLOOKUP(C60,Table8[],7,FALSE)</f>
        <v>336764545.82999969</v>
      </c>
      <c r="G60" s="24">
        <f>VLOOKUP(C60,Table8[],11,FALSE)</f>
        <v>42095568.228749961</v>
      </c>
      <c r="H60" s="24">
        <f>VLOOKUP(C60,Table8[],12,FALSE)</f>
        <v>387.125</v>
      </c>
      <c r="I60" s="29">
        <f>VLOOKUP(C60,Table8[],8,FALSE)</f>
        <v>3097</v>
      </c>
      <c r="J60" s="44">
        <f>VLOOKUP(C60,Table25[[Kode Toko]:[MAT All]],3,FALSE)</f>
        <v>1.0822510822510823E-3</v>
      </c>
      <c r="K60" s="45">
        <f>VLOOKUP(C60,Table2[[#All],[Kode Toko]:[MAT Exc Beanspot]],3,FALSE)</f>
        <v>1.0822510822510823E-3</v>
      </c>
      <c r="L60" s="31">
        <f>VLOOKUP(C60,Table6[],4,FALSE)</f>
        <v>3.4826147426981917E-2</v>
      </c>
      <c r="M60" s="3">
        <f>VLOOKUP(C60,Table6[],5,FALSE)</f>
        <v>1.6636071592473611E-2</v>
      </c>
      <c r="N60" s="30">
        <f>VLOOKUP(C60,Table5[[Store Code]:[MAT % Beanspot]],8,FALSE)</f>
        <v>790404213.72000003</v>
      </c>
      <c r="O60" s="24">
        <f>VLOOKUP(C60,Table5[[Store Code]:[MAT % Beanspot]],10,FALSE)</f>
        <v>765369696.83000004</v>
      </c>
      <c r="P60" s="24">
        <f>VLOOKUP(C60,Table5[[Store Code]:[MAT % Beanspot]],13,FALSE)</f>
        <v>25034516.889999989</v>
      </c>
      <c r="Q60" s="23">
        <f>VLOOKUP(C60,Table5[[Store Code]:[MAT % Beanspot]],15,FALSE)</f>
        <v>18.360195586811759</v>
      </c>
      <c r="R60" s="24" t="str">
        <f>VLOOKUP(C60,Table1[],6,FALSE)</f>
        <v>PKM Auto</v>
      </c>
    </row>
    <row r="61" spans="2:18" x14ac:dyDescent="0.35">
      <c r="B61" s="2" t="s">
        <v>9</v>
      </c>
      <c r="C61" s="2" t="s">
        <v>24</v>
      </c>
      <c r="D61" s="2" t="s">
        <v>25</v>
      </c>
      <c r="E61" s="8">
        <f>VLOOKUP(C61,Table8[],6,FALSE)</f>
        <v>8</v>
      </c>
      <c r="F61" s="24">
        <f>VLOOKUP(C61,Table8[],7,FALSE)</f>
        <v>337664193.87999952</v>
      </c>
      <c r="G61" s="24">
        <f>VLOOKUP(C61,Table8[],11,FALSE)</f>
        <v>42208024.234999932</v>
      </c>
      <c r="H61" s="24">
        <f>VLOOKUP(C61,Table8[],12,FALSE)</f>
        <v>383.25</v>
      </c>
      <c r="I61" s="29">
        <f>VLOOKUP(C61,Table8[],8,FALSE)</f>
        <v>3066</v>
      </c>
      <c r="J61" s="44">
        <f>VLOOKUP(C61,Table25[[Kode Toko]:[MAT All]],3,FALSE)</f>
        <v>8.5777126099706738E-2</v>
      </c>
      <c r="K61" s="45">
        <f>VLOOKUP(C61,Table2[[#All],[Kode Toko]:[MAT Exc Beanspot]],3,FALSE)</f>
        <v>6.2683284457478006E-2</v>
      </c>
      <c r="L61" s="31">
        <f>VLOOKUP(C61,Table6[],4,FALSE)</f>
        <v>7.2375814789840412E-2</v>
      </c>
      <c r="M61" s="3">
        <f>VLOOKUP(C61,Table6[],5,FALSE)</f>
        <v>2.7548209366391185E-2</v>
      </c>
      <c r="N61" s="30">
        <f>VLOOKUP(C61,Table5[[Store Code]:[MAT % Beanspot]],8,FALSE)</f>
        <v>774273296.63999999</v>
      </c>
      <c r="O61" s="24">
        <f>VLOOKUP(C61,Table5[[Store Code]:[MAT % Beanspot]],10,FALSE)</f>
        <v>661456826.11000001</v>
      </c>
      <c r="P61" s="24">
        <f>VLOOKUP(C61,Table5[[Store Code]:[MAT % Beanspot]],13,FALSE)</f>
        <v>112816470.53</v>
      </c>
      <c r="Q61" s="23">
        <f>VLOOKUP(C61,Table5[[Store Code]:[MAT % Beanspot]],15,FALSE)</f>
        <v>18.15606508587982</v>
      </c>
      <c r="R61" s="24" t="str">
        <f>VLOOKUP(C61,Table1[],6,FALSE)</f>
        <v>Invent</v>
      </c>
    </row>
    <row r="62" spans="2:18" x14ac:dyDescent="0.35">
      <c r="B62" s="2" t="s">
        <v>6</v>
      </c>
      <c r="C62" s="2" t="s">
        <v>4</v>
      </c>
      <c r="D62" s="2" t="s">
        <v>5</v>
      </c>
      <c r="E62" s="8">
        <f>VLOOKUP(C62,Table8[],6,FALSE)</f>
        <v>8</v>
      </c>
      <c r="F62" s="24">
        <f>VLOOKUP(C62,Table8[],7,FALSE)</f>
        <v>216320065.07999989</v>
      </c>
      <c r="G62" s="24">
        <f>VLOOKUP(C62,Table8[],11,FALSE)</f>
        <v>27040008.13499999</v>
      </c>
      <c r="H62" s="24">
        <f>VLOOKUP(C62,Table8[],12,FALSE)</f>
        <v>237.5</v>
      </c>
      <c r="I62" s="29">
        <f>VLOOKUP(C62,Table8[],8,FALSE)</f>
        <v>1900</v>
      </c>
      <c r="J62" s="44">
        <f>VLOOKUP(C62,Table25[[Kode Toko]:[MAT All]],3,FALSE)</f>
        <v>5.3389322135572882E-2</v>
      </c>
      <c r="K62" s="45">
        <f>VLOOKUP(C62,Table2[[#All],[Kode Toko]:[MAT Exc Beanspot]],3,FALSE)</f>
        <v>3.5392921415716858E-2</v>
      </c>
      <c r="L62" s="31">
        <f>VLOOKUP(C62,Table6[],4,FALSE)</f>
        <v>4.5611610228058048E-2</v>
      </c>
      <c r="M62" s="3">
        <f>VLOOKUP(C62,Table6[],5,FALSE)</f>
        <v>7.2962530326174863E-2</v>
      </c>
      <c r="N62" s="30">
        <f>VLOOKUP(C62,Table5[[Store Code]:[MAT % Beanspot]],8,FALSE)</f>
        <v>743968227.13</v>
      </c>
      <c r="O62" s="24">
        <f>VLOOKUP(C62,Table5[[Store Code]:[MAT % Beanspot]],10,FALSE)</f>
        <v>699953656.66999996</v>
      </c>
      <c r="P62" s="24">
        <f>VLOOKUP(C62,Table5[[Store Code]:[MAT % Beanspot]],13,FALSE)</f>
        <v>44014570.460000038</v>
      </c>
      <c r="Q62" s="23">
        <f>VLOOKUP(C62,Table5[[Store Code]:[MAT % Beanspot]],15,FALSE)</f>
        <v>27.335725697442811</v>
      </c>
      <c r="R62" s="24" t="str">
        <f>VLOOKUP(C62,Table1[],6,FALSE)</f>
        <v>PKM Auto</v>
      </c>
    </row>
    <row r="63" spans="2:18" x14ac:dyDescent="0.35">
      <c r="B63" s="2" t="s">
        <v>45</v>
      </c>
      <c r="C63" s="2" t="s">
        <v>138</v>
      </c>
      <c r="D63" s="2" t="s">
        <v>139</v>
      </c>
      <c r="E63" s="8">
        <f>VLOOKUP(C63,Table8[],6,FALSE)</f>
        <v>8</v>
      </c>
      <c r="F63" s="24">
        <f>VLOOKUP(C63,Table8[],7,FALSE)</f>
        <v>334597380.74000001</v>
      </c>
      <c r="G63" s="24">
        <f>VLOOKUP(C63,Table8[],11,FALSE)</f>
        <v>41824672.592500001</v>
      </c>
      <c r="H63" s="24">
        <f>VLOOKUP(C63,Table8[],12,FALSE)</f>
        <v>385.75</v>
      </c>
      <c r="I63" s="29">
        <f>VLOOKUP(C63,Table8[],8,FALSE)</f>
        <v>3086</v>
      </c>
      <c r="J63" s="44">
        <f>VLOOKUP(C63,Table25[[Kode Toko]:[MAT All]],3,FALSE)</f>
        <v>7.4358974358974358E-2</v>
      </c>
      <c r="K63" s="45">
        <f>VLOOKUP(C63,Table2[[#All],[Kode Toko]:[MAT Exc Beanspot]],3,FALSE)</f>
        <v>4.4688644688644689E-2</v>
      </c>
      <c r="L63" s="31">
        <f>VLOOKUP(C63,Table6[],4,FALSE)</f>
        <v>3.4138162307176395E-2</v>
      </c>
      <c r="M63" s="3">
        <f>VLOOKUP(C63,Table6[],5,FALSE)</f>
        <v>2.1445559721046479E-2</v>
      </c>
      <c r="N63" s="30">
        <f>VLOOKUP(C63,Table5[[Store Code]:[MAT % Beanspot]],8,FALSE)</f>
        <v>729505752.80999994</v>
      </c>
      <c r="O63" s="24">
        <f>VLOOKUP(C63,Table5[[Store Code]:[MAT % Beanspot]],10,FALSE)</f>
        <v>692724932.60000002</v>
      </c>
      <c r="P63" s="24">
        <f>VLOOKUP(C63,Table5[[Store Code]:[MAT % Beanspot]],13,FALSE)</f>
        <v>36780820.209999919</v>
      </c>
      <c r="Q63" s="23">
        <f>VLOOKUP(C63,Table5[[Store Code]:[MAT % Beanspot]],15,FALSE)</f>
        <v>17.599867218887649</v>
      </c>
      <c r="R63" s="24" t="str">
        <f>VLOOKUP(C63,Table1[],6,FALSE)</f>
        <v>-</v>
      </c>
    </row>
    <row r="64" spans="2:18" x14ac:dyDescent="0.35">
      <c r="B64" s="2" t="s">
        <v>31</v>
      </c>
      <c r="C64" s="2" t="s">
        <v>29</v>
      </c>
      <c r="D64" s="2" t="s">
        <v>30</v>
      </c>
      <c r="E64" s="8">
        <f>VLOOKUP(C64,Table8[],6,FALSE)</f>
        <v>8</v>
      </c>
      <c r="F64" s="24">
        <f>VLOOKUP(C64,Table8[],7,FALSE)</f>
        <v>291357086.82999998</v>
      </c>
      <c r="G64" s="24">
        <f>VLOOKUP(C64,Table8[],11,FALSE)</f>
        <v>36419635.853750013</v>
      </c>
      <c r="H64" s="24">
        <f>VLOOKUP(C64,Table8[],12,FALSE)</f>
        <v>336.125</v>
      </c>
      <c r="I64" s="29">
        <f>VLOOKUP(C64,Table8[],8,FALSE)</f>
        <v>2689</v>
      </c>
      <c r="J64" s="44">
        <f>VLOOKUP(C64,Table25[[Kode Toko]:[MAT All]],3,FALSE)</f>
        <v>6.955046649703138E-2</v>
      </c>
      <c r="K64" s="45">
        <f>VLOOKUP(C64,Table2[[#All],[Kode Toko]:[MAT Exc Beanspot]],3,FALSE)</f>
        <v>4.3256997455470736E-2</v>
      </c>
      <c r="L64" s="31">
        <f>VLOOKUP(C64,Table6[],4,FALSE)</f>
        <v>6.8720102671800259E-2</v>
      </c>
      <c r="M64" s="3">
        <f>VLOOKUP(C64,Table6[],5,FALSE)</f>
        <v>2.7151566709201758E-2</v>
      </c>
      <c r="N64" s="30">
        <f>VLOOKUP(C64,Table5[[Store Code]:[MAT % Beanspot]],8,FALSE)</f>
        <v>658557525.98000002</v>
      </c>
      <c r="O64" s="24">
        <f>VLOOKUP(C64,Table5[[Store Code]:[MAT % Beanspot]],10,FALSE)</f>
        <v>649811855.39999998</v>
      </c>
      <c r="P64" s="24">
        <f>VLOOKUP(C64,Table5[[Store Code]:[MAT % Beanspot]],13,FALSE)</f>
        <v>8745670.5800000429</v>
      </c>
      <c r="Q64" s="23">
        <f>VLOOKUP(C64,Table5[[Store Code]:[MAT % Beanspot]],15,FALSE)</f>
        <v>17.982891189324011</v>
      </c>
      <c r="R64" s="24" t="str">
        <f>VLOOKUP(C64,Table1[],6,FALSE)</f>
        <v>PKM Auto</v>
      </c>
    </row>
    <row r="65" spans="2:18" x14ac:dyDescent="0.35">
      <c r="B65" s="2" t="s">
        <v>15</v>
      </c>
      <c r="C65" s="2" t="s">
        <v>69</v>
      </c>
      <c r="D65" s="2" t="s">
        <v>70</v>
      </c>
      <c r="E65" s="8">
        <f>VLOOKUP(C65,Table8[],6,FALSE)</f>
        <v>8</v>
      </c>
      <c r="F65" s="24">
        <f>VLOOKUP(C65,Table8[],7,FALSE)</f>
        <v>223098967.37999991</v>
      </c>
      <c r="G65" s="24">
        <f>VLOOKUP(C65,Table8[],11,FALSE)</f>
        <v>27887370.922499988</v>
      </c>
      <c r="H65" s="24">
        <f>VLOOKUP(C65,Table8[],12,FALSE)</f>
        <v>277.5</v>
      </c>
      <c r="I65" s="29">
        <f>VLOOKUP(C65,Table8[],8,FALSE)</f>
        <v>2220</v>
      </c>
      <c r="J65" s="44">
        <f>VLOOKUP(C65,Table25[[Kode Toko]:[MAT All]],3,FALSE)</f>
        <v>0.20180722891566266</v>
      </c>
      <c r="K65" s="45">
        <f>VLOOKUP(C65,Table2[[#All],[Kode Toko]:[MAT Exc Beanspot]],3,FALSE)</f>
        <v>0.1746987951807229</v>
      </c>
      <c r="L65" s="31">
        <f>VLOOKUP(C65,Table6[],4,FALSE)</f>
        <v>2.9435632607893766E-2</v>
      </c>
      <c r="M65" s="3">
        <f>VLOOKUP(C65,Table6[],5,FALSE)</f>
        <v>1.3936249073387695E-2</v>
      </c>
      <c r="N65" s="30">
        <f>VLOOKUP(C65,Table5[[Store Code]:[MAT % Beanspot]],8,FALSE)</f>
        <v>653488848.01999998</v>
      </c>
      <c r="O65" s="24">
        <f>VLOOKUP(C65,Table5[[Store Code]:[MAT % Beanspot]],10,FALSE)</f>
        <v>613476979.98000002</v>
      </c>
      <c r="P65" s="24">
        <f>VLOOKUP(C65,Table5[[Store Code]:[MAT % Beanspot]],13,FALSE)</f>
        <v>40011868.039999962</v>
      </c>
      <c r="Q65" s="23">
        <f>VLOOKUP(C65,Table5[[Store Code]:[MAT % Beanspot]],15,FALSE)</f>
        <v>24.829938734467419</v>
      </c>
      <c r="R65" s="24" t="str">
        <f>VLOOKUP(C65,Table1[],6,FALSE)</f>
        <v>PKM Auto</v>
      </c>
    </row>
    <row r="66" spans="2:18" x14ac:dyDescent="0.35">
      <c r="B66" s="2" t="s">
        <v>12</v>
      </c>
      <c r="C66" s="2" t="s">
        <v>16</v>
      </c>
      <c r="D66" s="2" t="s">
        <v>17</v>
      </c>
      <c r="E66" s="8">
        <f>VLOOKUP(C66,Table8[],6,FALSE)</f>
        <v>8</v>
      </c>
      <c r="F66" s="24">
        <f>VLOOKUP(C66,Table8[],7,FALSE)</f>
        <v>293412983</v>
      </c>
      <c r="G66" s="24">
        <f>VLOOKUP(C66,Table8[],11,FALSE)</f>
        <v>36676622.875</v>
      </c>
      <c r="H66" s="24">
        <f>VLOOKUP(C66,Table8[],12,FALSE)</f>
        <v>310</v>
      </c>
      <c r="I66" s="29">
        <f>VLOOKUP(C66,Table8[],8,FALSE)</f>
        <v>2480</v>
      </c>
      <c r="J66" s="44">
        <f>VLOOKUP(C66,Table25[[Kode Toko]:[MAT All]],3,FALSE)</f>
        <v>5.3345388788426762E-2</v>
      </c>
      <c r="K66" s="45">
        <f>VLOOKUP(C66,Table2[[#All],[Kode Toko]:[MAT Exc Beanspot]],3,FALSE)</f>
        <v>2.9837251356238697E-2</v>
      </c>
      <c r="L66" s="31">
        <f>VLOOKUP(C66,Table6[],4,FALSE)</f>
        <v>6.8095098326973871E-2</v>
      </c>
      <c r="M66" s="3">
        <f>VLOOKUP(C66,Table6[],5,FALSE)</f>
        <v>3.1934108807167114E-2</v>
      </c>
      <c r="N66" s="30">
        <f>VLOOKUP(C66,Table5[[Store Code]:[MAT % Beanspot]],8,FALSE)</f>
        <v>629775816.09000003</v>
      </c>
      <c r="O66" s="24">
        <f>VLOOKUP(C66,Table5[[Store Code]:[MAT % Beanspot]],10,FALSE)</f>
        <v>661378391.33000004</v>
      </c>
      <c r="P66" s="24">
        <f>VLOOKUP(C66,Table5[[Store Code]:[MAT % Beanspot]],13,FALSE)</f>
        <v>-31602575.24000001</v>
      </c>
      <c r="Q66" s="23">
        <f>VLOOKUP(C66,Table5[[Store Code]:[MAT % Beanspot]],15,FALSE)</f>
        <v>17.118937035233799</v>
      </c>
      <c r="R66" s="24" t="str">
        <f>VLOOKUP(C66,Table1[],6,FALSE)</f>
        <v>PKM Auto</v>
      </c>
    </row>
    <row r="67" spans="2:18" x14ac:dyDescent="0.35">
      <c r="B67" s="2" t="s">
        <v>92</v>
      </c>
      <c r="C67" s="2" t="s">
        <v>289</v>
      </c>
      <c r="D67" s="2" t="s">
        <v>290</v>
      </c>
      <c r="E67" s="8">
        <f>VLOOKUP(C67,Table8[],6,FALSE)</f>
        <v>7</v>
      </c>
      <c r="F67" s="24">
        <f>VLOOKUP(C67,Table8[],7,FALSE)</f>
        <v>233139175.86999941</v>
      </c>
      <c r="G67" s="24">
        <f>VLOOKUP(C67,Table8[],11,FALSE)</f>
        <v>33305596.55285706</v>
      </c>
      <c r="H67" s="24">
        <f>VLOOKUP(C67,Table8[],12,FALSE)</f>
        <v>423.14285714285722</v>
      </c>
      <c r="I67" s="29">
        <f>VLOOKUP(C67,Table8[],8,FALSE)</f>
        <v>2962</v>
      </c>
      <c r="J67" s="44">
        <f>VLOOKUP(C67,Table25[[Kode Toko]:[MAT All]],3,FALSE)</f>
        <v>1.4E-2</v>
      </c>
      <c r="K67" s="45">
        <f>VLOOKUP(C67,Table2[[#All],[Kode Toko]:[MAT Exc Beanspot]],3,FALSE)</f>
        <v>1.4E-2</v>
      </c>
      <c r="L67" s="31">
        <f>VLOOKUP(C67,Table6[],4,FALSE)</f>
        <v>1.6361210589144019E-2</v>
      </c>
      <c r="M67" s="3">
        <f>VLOOKUP(C67,Table6[],5,FALSE)</f>
        <v>5.7486184771724218E-3</v>
      </c>
      <c r="N67" s="30">
        <f>VLOOKUP(C67,Table5[[Store Code]:[MAT % Beanspot]],8,FALSE)</f>
        <v>616711293.58000004</v>
      </c>
      <c r="O67" s="24">
        <f>VLOOKUP(C67,Table5[[Store Code]:[MAT % Beanspot]],10,FALSE)</f>
        <v>775091741.38999999</v>
      </c>
      <c r="P67" s="24">
        <f>VLOOKUP(C67,Table5[[Store Code]:[MAT % Beanspot]],13,FALSE)</f>
        <v>-158380447.80999991</v>
      </c>
      <c r="Q67" s="23">
        <f>VLOOKUP(C67,Table5[[Store Code]:[MAT % Beanspot]],15,FALSE)</f>
        <v>18.585021490741251</v>
      </c>
      <c r="R67" s="24" t="str">
        <f>VLOOKUP(C67,Table1[],6,FALSE)</f>
        <v>-</v>
      </c>
    </row>
    <row r="68" spans="2:18" x14ac:dyDescent="0.35">
      <c r="B68" s="2" t="s">
        <v>12</v>
      </c>
      <c r="C68" s="2" t="s">
        <v>10</v>
      </c>
      <c r="D68" s="2" t="s">
        <v>11</v>
      </c>
      <c r="E68" s="8">
        <f>VLOOKUP(C68,Table8[],6,FALSE)</f>
        <v>8</v>
      </c>
      <c r="F68" s="24">
        <f>VLOOKUP(C68,Table8[],7,FALSE)</f>
        <v>314544982</v>
      </c>
      <c r="G68" s="24">
        <f>VLOOKUP(C68,Table8[],11,FALSE)</f>
        <v>39318122.75</v>
      </c>
      <c r="H68" s="24">
        <f>VLOOKUP(C68,Table8[],12,FALSE)</f>
        <v>342.375</v>
      </c>
      <c r="I68" s="29">
        <f>VLOOKUP(C68,Table8[],8,FALSE)</f>
        <v>2739</v>
      </c>
      <c r="J68" s="44">
        <f>VLOOKUP(C68,Table25[[Kode Toko]:[MAT All]],3,FALSE)</f>
        <v>6.4502875924404277E-2</v>
      </c>
      <c r="K68" s="45">
        <f>VLOOKUP(C68,Table2[[#All],[Kode Toko]:[MAT Exc Beanspot]],3,FALSE)</f>
        <v>3.7797863599013971E-2</v>
      </c>
      <c r="L68" s="31">
        <f>VLOOKUP(C68,Table6[],4,FALSE)</f>
        <v>6.8985936343449294E-2</v>
      </c>
      <c r="M68" s="3">
        <f>VLOOKUP(C68,Table6[],5,FALSE)</f>
        <v>3.5284365313919125E-2</v>
      </c>
      <c r="N68" s="30">
        <f>VLOOKUP(C68,Table5[[Store Code]:[MAT % Beanspot]],8,FALSE)</f>
        <v>594646068.37</v>
      </c>
      <c r="O68" s="24">
        <f>VLOOKUP(C68,Table5[[Store Code]:[MAT % Beanspot]],10,FALSE)</f>
        <v>675273566.57000005</v>
      </c>
      <c r="P68" s="24">
        <f>VLOOKUP(C68,Table5[[Store Code]:[MAT % Beanspot]],13,FALSE)</f>
        <v>-80627498.200000048</v>
      </c>
      <c r="Q68" s="23">
        <f>VLOOKUP(C68,Table5[[Store Code]:[MAT % Beanspot]],15,FALSE)</f>
        <v>15.130897454319591</v>
      </c>
      <c r="R68" s="24" t="str">
        <f>VLOOKUP(C68,Table1[],6,FALSE)</f>
        <v>PKM Auto</v>
      </c>
    </row>
    <row r="69" spans="2:18" x14ac:dyDescent="0.35">
      <c r="B69" s="2" t="s">
        <v>34</v>
      </c>
      <c r="C69" s="2" t="s">
        <v>32</v>
      </c>
      <c r="D69" s="2" t="s">
        <v>33</v>
      </c>
      <c r="E69" s="8">
        <f>VLOOKUP(C69,Table8[],6,FALSE)</f>
        <v>8</v>
      </c>
      <c r="F69" s="24">
        <f>VLOOKUP(C69,Table8[],7,FALSE)</f>
        <v>330351051.36999953</v>
      </c>
      <c r="G69" s="24">
        <f>VLOOKUP(C69,Table8[],11,FALSE)</f>
        <v>41293881.421249941</v>
      </c>
      <c r="H69" s="24">
        <f>VLOOKUP(C69,Table8[],12,FALSE)</f>
        <v>375.5</v>
      </c>
      <c r="I69" s="29">
        <f>VLOOKUP(C69,Table8[],8,FALSE)</f>
        <v>3004</v>
      </c>
      <c r="J69" s="44">
        <f>VLOOKUP(C69,Table25[[Kode Toko]:[MAT All]],3,FALSE)</f>
        <v>6.5523809523809526E-2</v>
      </c>
      <c r="K69" s="45">
        <f>VLOOKUP(C69,Table2[[#All],[Kode Toko]:[MAT Exc Beanspot]],3,FALSE)</f>
        <v>4.9523809523809526E-2</v>
      </c>
      <c r="L69" s="31">
        <f>VLOOKUP(C69,Table6[],4,FALSE)</f>
        <v>9.6913137114142137E-2</v>
      </c>
      <c r="M69" s="3">
        <f>VLOOKUP(C69,Table6[],5,FALSE)</f>
        <v>5.2080364776289544E-2</v>
      </c>
      <c r="N69" s="30">
        <f>VLOOKUP(C69,Table5[[Store Code]:[MAT % Beanspot]],8,FALSE)</f>
        <v>571294191.15999997</v>
      </c>
      <c r="O69" s="24">
        <f>VLOOKUP(C69,Table5[[Store Code]:[MAT % Beanspot]],10,FALSE)</f>
        <v>606188275.47000003</v>
      </c>
      <c r="P69" s="24">
        <f>VLOOKUP(C69,Table5[[Store Code]:[MAT % Beanspot]],13,FALSE)</f>
        <v>-34894084.310000062</v>
      </c>
      <c r="Q69" s="23">
        <f>VLOOKUP(C69,Table5[[Store Code]:[MAT % Beanspot]],15,FALSE)</f>
        <v>14.079272257016409</v>
      </c>
      <c r="R69" s="24" t="str">
        <f>VLOOKUP(C69,Table1[],6,FALSE)</f>
        <v>PKM Auto</v>
      </c>
    </row>
    <row r="70" spans="2:18" x14ac:dyDescent="0.35">
      <c r="B70" s="2" t="s">
        <v>6</v>
      </c>
      <c r="C70" s="2" t="s">
        <v>253</v>
      </c>
      <c r="D70" s="2" t="s">
        <v>254</v>
      </c>
      <c r="E70" s="8">
        <f>VLOOKUP(C70,Table8[],6,FALSE)</f>
        <v>8</v>
      </c>
      <c r="F70" s="24">
        <f>VLOOKUP(C70,Table8[],7,FALSE)</f>
        <v>347207961.98999977</v>
      </c>
      <c r="G70" s="24">
        <f>VLOOKUP(C70,Table8[],11,FALSE)</f>
        <v>43400995.248749979</v>
      </c>
      <c r="H70" s="24">
        <f>VLOOKUP(C70,Table8[],12,FALSE)</f>
        <v>489.375</v>
      </c>
      <c r="I70" s="29">
        <f>VLOOKUP(C70,Table8[],8,FALSE)</f>
        <v>3915</v>
      </c>
      <c r="J70" s="44">
        <f>VLOOKUP(C70,Table25[[Kode Toko]:[MAT All]],3,FALSE)</f>
        <v>1.0247651579846286E-2</v>
      </c>
      <c r="K70" s="45">
        <f>VLOOKUP(C70,Table2[[#All],[Kode Toko]:[MAT Exc Beanspot]],3,FALSE)</f>
        <v>1.0247651579846286E-2</v>
      </c>
      <c r="L70" s="31">
        <f>VLOOKUP(C70,Table6[],4,FALSE)</f>
        <v>3.9091212829936516E-2</v>
      </c>
      <c r="M70" s="3">
        <f>VLOOKUP(C70,Table6[],5,FALSE)</f>
        <v>3.3485484754427607E-2</v>
      </c>
      <c r="N70" s="30">
        <f>VLOOKUP(C70,Table5[[Store Code]:[MAT % Beanspot]],8,FALSE)</f>
        <v>528336399.33999997</v>
      </c>
      <c r="O70" s="24">
        <f>VLOOKUP(C70,Table5[[Store Code]:[MAT % Beanspot]],10,FALSE)</f>
        <v>606790578.97000003</v>
      </c>
      <c r="P70" s="24">
        <f>VLOOKUP(C70,Table5[[Store Code]:[MAT % Beanspot]],13,FALSE)</f>
        <v>-78454179.630000055</v>
      </c>
      <c r="Q70" s="23">
        <f>VLOOKUP(C70,Table5[[Store Code]:[MAT % Beanspot]],15,FALSE)</f>
        <v>12.12995389091394</v>
      </c>
      <c r="R70" s="24" t="str">
        <f>VLOOKUP(C70,Table1[],6,FALSE)</f>
        <v>-</v>
      </c>
    </row>
    <row r="71" spans="2:18" x14ac:dyDescent="0.35">
      <c r="B71" s="2" t="s">
        <v>87</v>
      </c>
      <c r="C71" s="2" t="s">
        <v>164</v>
      </c>
      <c r="D71" s="2" t="s">
        <v>165</v>
      </c>
      <c r="E71" s="8">
        <f>VLOOKUP(C71,Table8[],6,FALSE)</f>
        <v>8</v>
      </c>
      <c r="F71" s="24">
        <f>VLOOKUP(C71,Table8[],7,FALSE)</f>
        <v>356996476.22999913</v>
      </c>
      <c r="G71" s="24">
        <f>VLOOKUP(C71,Table8[],11,FALSE)</f>
        <v>44624559.528749883</v>
      </c>
      <c r="H71" s="24">
        <f>VLOOKUP(C71,Table8[],12,FALSE)</f>
        <v>494.25</v>
      </c>
      <c r="I71" s="29">
        <f>VLOOKUP(C71,Table8[],8,FALSE)</f>
        <v>3954</v>
      </c>
      <c r="J71" s="44">
        <f>VLOOKUP(C71,Table25[[Kode Toko]:[MAT All]],3,FALSE)</f>
        <v>1.4455044810638912E-3</v>
      </c>
      <c r="K71" s="45">
        <f>VLOOKUP(C71,Table2[[#All],[Kode Toko]:[MAT Exc Beanspot]],3,FALSE)</f>
        <v>1.4455044810638912E-3</v>
      </c>
      <c r="L71" s="31">
        <f>VLOOKUP(C71,Table6[],4,FALSE)</f>
        <v>4.3894652833200321E-2</v>
      </c>
      <c r="M71" s="3">
        <f>VLOOKUP(C71,Table6[],5,FALSE)</f>
        <v>3.6800531522220584E-2</v>
      </c>
      <c r="N71" s="30">
        <f>VLOOKUP(C71,Table5[[Store Code]:[MAT % Beanspot]],8,FALSE)</f>
        <v>480126364.22000003</v>
      </c>
      <c r="O71" s="24">
        <f>VLOOKUP(C71,Table5[[Store Code]:[MAT % Beanspot]],10,FALSE)</f>
        <v>648944488.54999995</v>
      </c>
      <c r="P71" s="24">
        <f>VLOOKUP(C71,Table5[[Store Code]:[MAT % Beanspot]],13,FALSE)</f>
        <v>-168818124.32999989</v>
      </c>
      <c r="Q71" s="23">
        <f>VLOOKUP(C71,Table5[[Store Code]:[MAT % Beanspot]],15,FALSE)</f>
        <v>10.81453041811359</v>
      </c>
      <c r="R71" s="24" t="str">
        <f>VLOOKUP(C71,Table1[],6,FALSE)</f>
        <v>-</v>
      </c>
    </row>
    <row r="72" spans="2:18" x14ac:dyDescent="0.35">
      <c r="B72" s="2" t="s">
        <v>92</v>
      </c>
      <c r="C72" s="2" t="s">
        <v>162</v>
      </c>
      <c r="D72" s="2" t="s">
        <v>163</v>
      </c>
      <c r="E72" s="8">
        <f>VLOOKUP(C72,Table8[],6,FALSE)</f>
        <v>8</v>
      </c>
      <c r="F72" s="24">
        <f>VLOOKUP(C72,Table8[],7,FALSE)</f>
        <v>292728754.38999993</v>
      </c>
      <c r="G72" s="24">
        <f>VLOOKUP(C72,Table8[],11,FALSE)</f>
        <v>36591094.298749983</v>
      </c>
      <c r="H72" s="24">
        <f>VLOOKUP(C72,Table8[],12,FALSE)</f>
        <v>399.625</v>
      </c>
      <c r="I72" s="29">
        <f>VLOOKUP(C72,Table8[],8,FALSE)</f>
        <v>3197</v>
      </c>
      <c r="J72" s="44">
        <f>VLOOKUP(C72,Table25[[Kode Toko]:[MAT All]],3,FALSE)</f>
        <v>0.133499466002136</v>
      </c>
      <c r="K72" s="45">
        <f>VLOOKUP(C72,Table2[[#All],[Kode Toko]:[MAT Exc Beanspot]],3,FALSE)</f>
        <v>0.10430758276966892</v>
      </c>
      <c r="L72" s="31">
        <f>VLOOKUP(C72,Table6[],4,FALSE)</f>
        <v>2.766798418972332E-2</v>
      </c>
      <c r="M72" s="3">
        <f>VLOOKUP(C72,Table6[],5,FALSE)</f>
        <v>7.2721930436698862E-2</v>
      </c>
      <c r="N72" s="30">
        <f>VLOOKUP(C72,Table5[[Store Code]:[MAT % Beanspot]],8,FALSE)</f>
        <v>471877632.51999998</v>
      </c>
      <c r="O72" s="24">
        <f>VLOOKUP(C72,Table5[[Store Code]:[MAT % Beanspot]],10,FALSE)</f>
        <v>813934050.82000005</v>
      </c>
      <c r="P72" s="24">
        <f>VLOOKUP(C72,Table5[[Store Code]:[MAT % Beanspot]],13,FALSE)</f>
        <v>-342056418.30000007</v>
      </c>
      <c r="Q72" s="23">
        <f>VLOOKUP(C72,Table5[[Store Code]:[MAT % Beanspot]],15,FALSE)</f>
        <v>13.4267891516378</v>
      </c>
      <c r="R72" s="24" t="str">
        <f>VLOOKUP(C72,Table1[],6,FALSE)</f>
        <v>-</v>
      </c>
    </row>
  </sheetData>
  <sortState xmlns:xlrd2="http://schemas.microsoft.com/office/spreadsheetml/2017/richdata2" ref="B6:R72">
    <sortCondition descending="1" ref="N6:N72"/>
  </sortState>
  <mergeCells count="8">
    <mergeCell ref="R4:R5"/>
    <mergeCell ref="B4:B5"/>
    <mergeCell ref="D4:D5"/>
    <mergeCell ref="C4:C5"/>
    <mergeCell ref="N4:Q4"/>
    <mergeCell ref="E4:I4"/>
    <mergeCell ref="J4:K4"/>
    <mergeCell ref="L4:M4"/>
  </mergeCells>
  <conditionalFormatting sqref="K6:K72">
    <cfRule type="colorScale" priority="1">
      <colorScale>
        <cfvo type="min"/>
        <cfvo type="max"/>
        <color rgb="FFFCFCFF"/>
        <color rgb="FFF8696B"/>
      </colorScale>
    </cfRule>
  </conditionalFormatting>
  <conditionalFormatting sqref="L6:L72">
    <cfRule type="colorScale" priority="2">
      <colorScale>
        <cfvo type="min"/>
        <cfvo type="max"/>
        <color theme="7" tint="0.39997558519241921"/>
        <color theme="5"/>
      </colorScale>
    </cfRule>
    <cfRule type="colorScale" priority="5">
      <colorScale>
        <cfvo type="min"/>
        <cfvo type="max"/>
        <color theme="7" tint="0.59999389629810485"/>
        <color theme="5"/>
      </colorScale>
    </cfRule>
    <cfRule type="colorScale" priority="16">
      <colorScale>
        <cfvo type="min"/>
        <cfvo type="max"/>
        <color theme="7" tint="0.59999389629810485"/>
        <color theme="5"/>
      </colorScale>
    </cfRule>
    <cfRule type="colorScale" priority="17">
      <colorScale>
        <cfvo type="min"/>
        <cfvo type="max"/>
        <color rgb="FFFF7128"/>
        <color rgb="FFFFEF9C"/>
      </colorScale>
    </cfRule>
  </conditionalFormatting>
  <conditionalFormatting sqref="N6:N72">
    <cfRule type="colorScale" priority="3">
      <colorScale>
        <cfvo type="min"/>
        <cfvo type="max"/>
        <color theme="5" tint="0.79998168889431442"/>
        <color theme="5" tint="0.39997558519241921"/>
      </colorScale>
    </cfRule>
    <cfRule type="colorScale" priority="6">
      <colorScale>
        <cfvo type="min"/>
        <cfvo type="max"/>
        <color theme="5" tint="0.79998168889431442"/>
        <color theme="5" tint="0.39997558519241921"/>
      </colorScale>
    </cfRule>
    <cfRule type="colorScale" priority="7">
      <colorScale>
        <cfvo type="min"/>
        <cfvo type="max"/>
        <color theme="5" tint="0.39997558519241921"/>
        <color theme="5" tint="0.79998168889431442"/>
      </colorScale>
    </cfRule>
    <cfRule type="colorScale" priority="20">
      <colorScale>
        <cfvo type="min"/>
        <cfvo type="max"/>
        <color theme="7" tint="0.79998168889431442"/>
        <color theme="5" tint="0.59999389629810485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13A9-3404-4E75-BEAE-6BA1A1C1B17C}">
  <sheetPr>
    <tabColor theme="9" tint="0.79998168889431442"/>
  </sheetPr>
  <dimension ref="A1:BA1048572"/>
  <sheetViews>
    <sheetView topLeftCell="A40" workbookViewId="0">
      <selection activeCell="A47" sqref="A47:XFD47"/>
    </sheetView>
  </sheetViews>
  <sheetFormatPr defaultRowHeight="14.5" x14ac:dyDescent="0.35"/>
  <cols>
    <col min="1" max="1" width="11.54296875" style="17" customWidth="1"/>
    <col min="2" max="2" width="22.54296875" style="21" bestFit="1" customWidth="1"/>
    <col min="3" max="3" width="13.1796875" style="21" customWidth="1"/>
    <col min="4" max="4" width="16.1796875" style="21" customWidth="1"/>
    <col min="5" max="5" width="10.7265625" style="21" bestFit="1" customWidth="1"/>
    <col min="6" max="6" width="5.81640625" style="21" customWidth="1"/>
    <col min="7" max="7" width="11.81640625" style="21" bestFit="1" customWidth="1"/>
    <col min="8" max="8" width="8.1796875" style="21" customWidth="1"/>
    <col min="9" max="9" width="11.81640625" style="21" bestFit="1" customWidth="1"/>
    <col min="10" max="10" width="14.36328125" style="21" customWidth="1"/>
    <col min="11" max="13" width="11.81640625" style="21" bestFit="1" customWidth="1"/>
    <col min="14" max="14" width="10.6328125" style="21" customWidth="1"/>
    <col min="15" max="15" width="14.7265625" style="21" customWidth="1"/>
    <col min="16" max="16" width="16.54296875" style="21" customWidth="1"/>
    <col min="17" max="17" width="14.7265625" style="21" customWidth="1"/>
    <col min="18" max="18" width="23.26953125" style="21" customWidth="1"/>
    <col min="19" max="19" width="17.08984375" style="21" customWidth="1"/>
    <col min="20" max="20" width="19.54296875" style="21" customWidth="1"/>
    <col min="21" max="21" width="10.81640625" style="21" customWidth="1"/>
    <col min="22" max="22" width="12.6328125" style="21" customWidth="1"/>
    <col min="23" max="23" width="13.1796875" style="21" customWidth="1"/>
    <col min="24" max="24" width="11.81640625" style="21" bestFit="1" customWidth="1"/>
    <col min="25" max="25" width="17.7265625" style="21" customWidth="1"/>
    <col min="26" max="26" width="11.81640625" style="21" bestFit="1" customWidth="1"/>
    <col min="27" max="27" width="19.36328125" style="21" customWidth="1"/>
    <col min="28" max="28" width="15.6328125" style="21" customWidth="1"/>
    <col min="29" max="30" width="18.6328125" style="21" customWidth="1"/>
    <col min="31" max="31" width="15.7265625" style="21" customWidth="1"/>
    <col min="32" max="32" width="18.26953125" style="21" customWidth="1"/>
    <col min="33" max="33" width="15.08984375" style="21" customWidth="1"/>
    <col min="34" max="34" width="23" style="21" customWidth="1"/>
    <col min="35" max="35" width="20.08984375" style="21" customWidth="1"/>
    <col min="36" max="36" width="22.6328125" style="21" customWidth="1"/>
    <col min="37" max="37" width="19.08984375" style="21" customWidth="1"/>
    <col min="38" max="38" width="11.81640625" style="21" bestFit="1" customWidth="1"/>
    <col min="39" max="39" width="15.7265625" style="21" customWidth="1"/>
    <col min="40" max="40" width="23.6328125" style="21" customWidth="1"/>
    <col min="41" max="41" width="20.7265625" style="21" customWidth="1"/>
    <col min="42" max="42" width="23.26953125" style="21" customWidth="1"/>
    <col min="43" max="43" width="19.7265625" style="21" customWidth="1"/>
    <col min="44" max="44" width="11.81640625" style="21" bestFit="1" customWidth="1"/>
    <col min="45" max="45" width="26.54296875" style="21" customWidth="1"/>
    <col min="46" max="47" width="29.81640625" style="21" customWidth="1"/>
    <col min="48" max="48" width="26.90625" style="21" customWidth="1"/>
    <col min="49" max="49" width="29.453125" style="21" customWidth="1"/>
    <col min="50" max="50" width="26.26953125" style="21" customWidth="1"/>
    <col min="51" max="51" width="33.81640625" style="21" customWidth="1"/>
    <col min="52" max="52" width="30.26953125" style="21" customWidth="1"/>
    <col min="53" max="53" width="21.26953125" style="19" customWidth="1"/>
  </cols>
  <sheetData>
    <row r="1" spans="1:53" x14ac:dyDescent="0.35">
      <c r="A1" s="27" t="s">
        <v>188</v>
      </c>
      <c r="B1" s="28" t="s">
        <v>189</v>
      </c>
      <c r="C1" s="28" t="s">
        <v>190</v>
      </c>
      <c r="D1" s="28" t="s">
        <v>191</v>
      </c>
      <c r="E1" s="28" t="s">
        <v>192</v>
      </c>
      <c r="F1" s="28" t="s">
        <v>147</v>
      </c>
      <c r="G1" s="28" t="s">
        <v>193</v>
      </c>
      <c r="H1" s="28" t="s">
        <v>194</v>
      </c>
      <c r="I1" s="28" t="s">
        <v>195</v>
      </c>
      <c r="J1" s="28" t="s">
        <v>196</v>
      </c>
      <c r="K1" s="28" t="s">
        <v>149</v>
      </c>
      <c r="L1" s="28" t="s">
        <v>150</v>
      </c>
      <c r="M1" s="28" t="s">
        <v>197</v>
      </c>
      <c r="N1" s="28" t="s">
        <v>198</v>
      </c>
      <c r="O1" s="28" t="s">
        <v>199</v>
      </c>
      <c r="P1" s="28" t="s">
        <v>200</v>
      </c>
      <c r="Q1" s="28" t="s">
        <v>201</v>
      </c>
      <c r="R1" s="28" t="s">
        <v>202</v>
      </c>
      <c r="S1" s="28" t="s">
        <v>203</v>
      </c>
      <c r="T1" s="28" t="s">
        <v>204</v>
      </c>
      <c r="U1" s="28" t="s">
        <v>205</v>
      </c>
      <c r="V1" s="28" t="s">
        <v>206</v>
      </c>
      <c r="W1" s="28" t="s">
        <v>207</v>
      </c>
      <c r="X1" s="28" t="s">
        <v>208</v>
      </c>
      <c r="Y1" s="28" t="s">
        <v>209</v>
      </c>
      <c r="Z1" s="28" t="s">
        <v>210</v>
      </c>
      <c r="AA1" s="28" t="s">
        <v>211</v>
      </c>
      <c r="AB1" s="28" t="s">
        <v>212</v>
      </c>
      <c r="AC1" s="28" t="s">
        <v>213</v>
      </c>
      <c r="AD1" s="28" t="s">
        <v>214</v>
      </c>
      <c r="AE1" s="28" t="s">
        <v>215</v>
      </c>
      <c r="AF1" s="28" t="s">
        <v>216</v>
      </c>
      <c r="AG1" s="28" t="s">
        <v>217</v>
      </c>
      <c r="AH1" s="28" t="s">
        <v>218</v>
      </c>
      <c r="AI1" s="28" t="s">
        <v>219</v>
      </c>
      <c r="AJ1" s="28" t="s">
        <v>220</v>
      </c>
      <c r="AK1" s="28" t="s">
        <v>221</v>
      </c>
      <c r="AL1" s="28" t="s">
        <v>222</v>
      </c>
      <c r="AM1" s="28" t="s">
        <v>223</v>
      </c>
      <c r="AN1" s="28" t="s">
        <v>224</v>
      </c>
      <c r="AO1" s="28" t="s">
        <v>225</v>
      </c>
      <c r="AP1" s="28" t="s">
        <v>226</v>
      </c>
      <c r="AQ1" s="28" t="s">
        <v>227</v>
      </c>
      <c r="AR1" s="28" t="s">
        <v>228</v>
      </c>
      <c r="AS1" s="28" t="s">
        <v>229</v>
      </c>
      <c r="AT1" s="28" t="s">
        <v>230</v>
      </c>
      <c r="AU1" s="28" t="s">
        <v>231</v>
      </c>
      <c r="AV1" s="28" t="s">
        <v>232</v>
      </c>
      <c r="AW1" s="28" t="s">
        <v>233</v>
      </c>
      <c r="AX1" s="28" t="s">
        <v>234</v>
      </c>
      <c r="AY1" s="28" t="s">
        <v>235</v>
      </c>
      <c r="AZ1" s="28" t="s">
        <v>236</v>
      </c>
      <c r="BA1" s="28" t="s">
        <v>237</v>
      </c>
    </row>
    <row r="2" spans="1:53" x14ac:dyDescent="0.35">
      <c r="A2" s="26" t="s">
        <v>35</v>
      </c>
      <c r="B2" s="16" t="s">
        <v>36</v>
      </c>
      <c r="C2" s="16" t="s">
        <v>238</v>
      </c>
      <c r="D2" s="16" t="s">
        <v>37</v>
      </c>
      <c r="E2" s="16" t="s">
        <v>239</v>
      </c>
      <c r="F2" s="16">
        <v>8</v>
      </c>
      <c r="G2" s="16">
        <v>350920729.60999972</v>
      </c>
      <c r="H2" s="16">
        <v>3414</v>
      </c>
      <c r="I2" s="16">
        <v>60629887.150000103</v>
      </c>
      <c r="J2" s="16">
        <v>0.17277374071740331</v>
      </c>
      <c r="K2" s="16">
        <v>43865091.201249957</v>
      </c>
      <c r="L2" s="16">
        <v>426.75</v>
      </c>
      <c r="M2" s="16">
        <v>102788.7315787931</v>
      </c>
      <c r="N2" s="16">
        <v>2484</v>
      </c>
      <c r="O2" s="16">
        <v>8</v>
      </c>
      <c r="P2" s="16">
        <v>350920729.60999972</v>
      </c>
      <c r="Q2" s="16">
        <v>60629887.150000103</v>
      </c>
      <c r="R2" s="16">
        <v>0.17277374071740331</v>
      </c>
      <c r="S2" s="16">
        <v>3414</v>
      </c>
      <c r="T2" s="16">
        <v>2484</v>
      </c>
      <c r="U2" s="16">
        <v>8</v>
      </c>
      <c r="V2" s="16">
        <v>66442748.180000007</v>
      </c>
      <c r="W2" s="16">
        <v>904</v>
      </c>
      <c r="X2" s="16">
        <v>0.1893383393276368</v>
      </c>
      <c r="Y2" s="16">
        <v>0.81066166067236323</v>
      </c>
      <c r="Z2" s="16">
        <v>6434135.2000000011</v>
      </c>
      <c r="AA2" s="16">
        <v>9.6837282867489008E-2</v>
      </c>
      <c r="AB2" s="16">
        <v>766</v>
      </c>
      <c r="AC2" s="16">
        <v>3509</v>
      </c>
      <c r="AD2" s="16">
        <v>2914</v>
      </c>
      <c r="AE2" s="16">
        <v>514</v>
      </c>
      <c r="AF2" s="16">
        <v>81</v>
      </c>
      <c r="AG2" s="16">
        <v>3457</v>
      </c>
      <c r="AH2" s="16">
        <v>2883</v>
      </c>
      <c r="AI2" s="16">
        <v>510</v>
      </c>
      <c r="AJ2" s="16">
        <v>64</v>
      </c>
      <c r="AK2" s="16">
        <v>176820</v>
      </c>
      <c r="AL2" s="16">
        <v>52.113174182139701</v>
      </c>
      <c r="AM2" s="16">
        <v>50</v>
      </c>
      <c r="AN2" s="16">
        <v>31</v>
      </c>
      <c r="AO2" s="16">
        <v>4</v>
      </c>
      <c r="AP2" s="16">
        <v>15</v>
      </c>
      <c r="AQ2" s="16">
        <v>155670</v>
      </c>
      <c r="AR2" s="16">
        <v>4447.7142857142853</v>
      </c>
      <c r="AS2" s="16">
        <v>45</v>
      </c>
      <c r="AT2" s="16">
        <v>3464</v>
      </c>
      <c r="AU2" s="16">
        <v>2897</v>
      </c>
      <c r="AV2" s="16">
        <v>494</v>
      </c>
      <c r="AW2" s="16">
        <v>73</v>
      </c>
      <c r="AX2" s="16">
        <v>3413</v>
      </c>
      <c r="AY2" s="16">
        <v>57</v>
      </c>
      <c r="AZ2" s="16">
        <v>173883</v>
      </c>
      <c r="BA2" s="16">
        <v>51.812574493444579</v>
      </c>
    </row>
    <row r="3" spans="1:53" x14ac:dyDescent="0.35">
      <c r="A3" s="26" t="s">
        <v>38</v>
      </c>
      <c r="B3" s="16" t="s">
        <v>39</v>
      </c>
      <c r="C3" s="16" t="s">
        <v>240</v>
      </c>
      <c r="D3" s="16" t="s">
        <v>40</v>
      </c>
      <c r="E3" s="16" t="s">
        <v>239</v>
      </c>
      <c r="F3" s="16">
        <v>8</v>
      </c>
      <c r="G3" s="16">
        <v>433008327.35999972</v>
      </c>
      <c r="H3" s="16">
        <v>3423</v>
      </c>
      <c r="I3" s="16">
        <v>68311930.550000072</v>
      </c>
      <c r="J3" s="16">
        <v>0.15776123975834319</v>
      </c>
      <c r="K3" s="16">
        <v>54126040.919999957</v>
      </c>
      <c r="L3" s="16">
        <v>427.875</v>
      </c>
      <c r="M3" s="16">
        <v>126499.6574233128</v>
      </c>
      <c r="N3" s="16">
        <v>2395</v>
      </c>
      <c r="O3" s="16">
        <v>8</v>
      </c>
      <c r="P3" s="16">
        <v>433008327.35999972</v>
      </c>
      <c r="Q3" s="16">
        <v>68311930.550000072</v>
      </c>
      <c r="R3" s="16">
        <v>0.15776123975834319</v>
      </c>
      <c r="S3" s="16">
        <v>3423</v>
      </c>
      <c r="T3" s="16">
        <v>2395</v>
      </c>
      <c r="U3" s="16">
        <v>8</v>
      </c>
      <c r="V3" s="16">
        <v>76860182.50999999</v>
      </c>
      <c r="W3" s="16">
        <v>1087</v>
      </c>
      <c r="X3" s="16">
        <v>0.17750278147907081</v>
      </c>
      <c r="Y3" s="16">
        <v>0.82249721852092916</v>
      </c>
      <c r="Z3" s="16">
        <v>7349106.3799999971</v>
      </c>
      <c r="AA3" s="16">
        <v>9.5616561657836718E-2</v>
      </c>
      <c r="AB3" s="16">
        <v>908</v>
      </c>
      <c r="AC3" s="16">
        <v>3496</v>
      </c>
      <c r="AD3" s="16">
        <v>3214</v>
      </c>
      <c r="AE3" s="16">
        <v>246</v>
      </c>
      <c r="AF3" s="16">
        <v>36</v>
      </c>
      <c r="AG3" s="16">
        <v>3396</v>
      </c>
      <c r="AH3" s="16">
        <v>3125</v>
      </c>
      <c r="AI3" s="16">
        <v>245</v>
      </c>
      <c r="AJ3" s="16">
        <v>26</v>
      </c>
      <c r="AK3" s="16">
        <v>171490</v>
      </c>
      <c r="AL3" s="16">
        <v>50.887240356083083</v>
      </c>
      <c r="AM3" s="16">
        <v>95</v>
      </c>
      <c r="AN3" s="16">
        <v>89</v>
      </c>
      <c r="AO3" s="16">
        <v>1</v>
      </c>
      <c r="AP3" s="16">
        <v>5</v>
      </c>
      <c r="AQ3" s="16">
        <v>167008</v>
      </c>
      <c r="AR3" s="16">
        <v>1855.6444444444439</v>
      </c>
      <c r="AS3" s="16">
        <v>80</v>
      </c>
      <c r="AT3" s="16">
        <v>3416</v>
      </c>
      <c r="AU3" s="16">
        <v>3190</v>
      </c>
      <c r="AV3" s="16">
        <v>195</v>
      </c>
      <c r="AW3" s="16">
        <v>31</v>
      </c>
      <c r="AX3" s="16">
        <v>3321</v>
      </c>
      <c r="AY3" s="16">
        <v>23</v>
      </c>
      <c r="AZ3" s="16">
        <v>164880</v>
      </c>
      <c r="BA3" s="16">
        <v>49.993935718617337</v>
      </c>
    </row>
    <row r="4" spans="1:53" x14ac:dyDescent="0.35">
      <c r="A4" s="26" t="s">
        <v>128</v>
      </c>
      <c r="B4" s="16" t="s">
        <v>129</v>
      </c>
      <c r="C4" s="16" t="s">
        <v>241</v>
      </c>
      <c r="D4" s="16" t="s">
        <v>45</v>
      </c>
      <c r="E4" s="16" t="s">
        <v>239</v>
      </c>
      <c r="F4" s="16">
        <v>8</v>
      </c>
      <c r="G4" s="16">
        <v>451243317.48999918</v>
      </c>
      <c r="H4" s="16">
        <v>4359</v>
      </c>
      <c r="I4" s="16">
        <v>79968072.150000095</v>
      </c>
      <c r="J4" s="16">
        <v>0.17721718871055059</v>
      </c>
      <c r="K4" s="16">
        <v>56405414.686249897</v>
      </c>
      <c r="L4" s="16">
        <v>544.875</v>
      </c>
      <c r="M4" s="16">
        <v>103519.9168364302</v>
      </c>
      <c r="N4" s="16">
        <v>3112</v>
      </c>
      <c r="O4" s="16">
        <v>8</v>
      </c>
      <c r="P4" s="16">
        <v>451243317.48999918</v>
      </c>
      <c r="Q4" s="16">
        <v>79968072.150000095</v>
      </c>
      <c r="R4" s="16">
        <v>0.17721718871055059</v>
      </c>
      <c r="S4" s="16">
        <v>4359</v>
      </c>
      <c r="T4" s="16">
        <v>3112</v>
      </c>
      <c r="U4" s="16">
        <v>8</v>
      </c>
      <c r="V4" s="16">
        <v>82506436.680000022</v>
      </c>
      <c r="W4" s="16">
        <v>1300</v>
      </c>
      <c r="X4" s="16">
        <v>0.18284245656851991</v>
      </c>
      <c r="Y4" s="16">
        <v>0.81715754343148006</v>
      </c>
      <c r="Z4" s="16">
        <v>9719012.8299999963</v>
      </c>
      <c r="AA4" s="16">
        <v>0.11779702555444301</v>
      </c>
      <c r="AB4" s="16">
        <v>1090</v>
      </c>
      <c r="AC4" s="16">
        <v>4435</v>
      </c>
      <c r="AD4" s="16">
        <v>3025</v>
      </c>
      <c r="AE4" s="16">
        <v>1374</v>
      </c>
      <c r="AF4" s="16">
        <v>36</v>
      </c>
      <c r="AG4" s="16">
        <v>4362</v>
      </c>
      <c r="AH4" s="16">
        <v>2959</v>
      </c>
      <c r="AI4" s="16">
        <v>1374</v>
      </c>
      <c r="AJ4" s="16">
        <v>29</v>
      </c>
      <c r="AK4" s="16">
        <v>262112</v>
      </c>
      <c r="AL4" s="16">
        <v>60.492037849065312</v>
      </c>
      <c r="AM4" s="16">
        <v>72</v>
      </c>
      <c r="AN4" s="16">
        <v>66</v>
      </c>
      <c r="AO4" s="16">
        <v>0</v>
      </c>
      <c r="AP4" s="16">
        <v>6</v>
      </c>
      <c r="AQ4" s="16">
        <v>109059</v>
      </c>
      <c r="AR4" s="16">
        <v>1652.409090909091</v>
      </c>
      <c r="AS4" s="16">
        <v>25</v>
      </c>
      <c r="AT4" s="16">
        <v>4410</v>
      </c>
      <c r="AU4" s="16">
        <v>3016</v>
      </c>
      <c r="AV4" s="16">
        <v>1366</v>
      </c>
      <c r="AW4" s="16">
        <v>28</v>
      </c>
      <c r="AX4" s="16">
        <v>4338</v>
      </c>
      <c r="AY4" s="16">
        <v>22</v>
      </c>
      <c r="AZ4" s="16">
        <v>260511</v>
      </c>
      <c r="BA4" s="16">
        <v>60.359360518999083</v>
      </c>
    </row>
    <row r="5" spans="1:53" x14ac:dyDescent="0.35">
      <c r="A5" s="26" t="s">
        <v>57</v>
      </c>
      <c r="B5" s="16" t="s">
        <v>58</v>
      </c>
      <c r="C5" s="16" t="s">
        <v>242</v>
      </c>
      <c r="D5" s="16" t="s">
        <v>15</v>
      </c>
      <c r="E5" s="16" t="s">
        <v>239</v>
      </c>
      <c r="F5" s="16">
        <v>8</v>
      </c>
      <c r="G5" s="16">
        <v>268855144.7499997</v>
      </c>
      <c r="H5" s="16">
        <v>2587</v>
      </c>
      <c r="I5" s="16">
        <v>49209031.309999987</v>
      </c>
      <c r="J5" s="16">
        <v>0.1830317636501172</v>
      </c>
      <c r="K5" s="16">
        <v>33606893.093749963</v>
      </c>
      <c r="L5" s="16">
        <v>323.375</v>
      </c>
      <c r="M5" s="16">
        <v>103925.4521646694</v>
      </c>
      <c r="N5" s="16">
        <v>1916</v>
      </c>
      <c r="O5" s="16">
        <v>8</v>
      </c>
      <c r="P5" s="16">
        <v>268855144.7499997</v>
      </c>
      <c r="Q5" s="16">
        <v>49209031.309999987</v>
      </c>
      <c r="R5" s="16">
        <v>0.1830317636501172</v>
      </c>
      <c r="S5" s="16">
        <v>2587</v>
      </c>
      <c r="T5" s="16">
        <v>1916</v>
      </c>
      <c r="U5" s="16">
        <v>8</v>
      </c>
      <c r="V5" s="16">
        <v>57410326.030000009</v>
      </c>
      <c r="W5" s="16">
        <v>872</v>
      </c>
      <c r="X5" s="16">
        <v>0.21353627464850691</v>
      </c>
      <c r="Y5" s="16">
        <v>0.78646372535149311</v>
      </c>
      <c r="Z5" s="16">
        <v>6561575.3599999994</v>
      </c>
      <c r="AA5" s="16">
        <v>0.114292598801324</v>
      </c>
      <c r="AB5" s="16">
        <v>747</v>
      </c>
      <c r="AC5" s="16">
        <v>2636</v>
      </c>
      <c r="AD5" s="16">
        <v>2458</v>
      </c>
      <c r="AE5" s="16">
        <v>126</v>
      </c>
      <c r="AF5" s="16">
        <v>52</v>
      </c>
      <c r="AG5" s="16">
        <v>2551</v>
      </c>
      <c r="AH5" s="16">
        <v>2426</v>
      </c>
      <c r="AI5" s="16">
        <v>116</v>
      </c>
      <c r="AJ5" s="16">
        <v>9</v>
      </c>
      <c r="AK5" s="16">
        <v>116969</v>
      </c>
      <c r="AL5" s="16">
        <v>46.014555468135327</v>
      </c>
      <c r="AM5" s="16">
        <v>49</v>
      </c>
      <c r="AN5" s="16">
        <v>32</v>
      </c>
      <c r="AO5" s="16">
        <v>10</v>
      </c>
      <c r="AP5" s="16">
        <v>7</v>
      </c>
      <c r="AQ5" s="16">
        <v>151893</v>
      </c>
      <c r="AR5" s="16">
        <v>3616.5</v>
      </c>
      <c r="AS5" s="16">
        <v>35</v>
      </c>
      <c r="AT5" s="16">
        <v>2601</v>
      </c>
      <c r="AU5" s="16">
        <v>2442</v>
      </c>
      <c r="AV5" s="16">
        <v>108</v>
      </c>
      <c r="AW5" s="16">
        <v>51</v>
      </c>
      <c r="AX5" s="16">
        <v>2516</v>
      </c>
      <c r="AY5" s="16">
        <v>8</v>
      </c>
      <c r="AZ5" s="16">
        <v>114903</v>
      </c>
      <c r="BA5" s="16">
        <v>45.814593301435409</v>
      </c>
    </row>
    <row r="6" spans="1:53" x14ac:dyDescent="0.35">
      <c r="A6" s="26" t="s">
        <v>41</v>
      </c>
      <c r="B6" s="16" t="s">
        <v>42</v>
      </c>
      <c r="C6" s="16" t="s">
        <v>242</v>
      </c>
      <c r="D6" s="16" t="s">
        <v>15</v>
      </c>
      <c r="E6" s="16" t="s">
        <v>239</v>
      </c>
      <c r="F6" s="16">
        <v>8</v>
      </c>
      <c r="G6" s="16">
        <v>357473976.24999958</v>
      </c>
      <c r="H6" s="16">
        <v>3041</v>
      </c>
      <c r="I6" s="16">
        <v>60271799.640000023</v>
      </c>
      <c r="J6" s="16">
        <v>0.16860471990791551</v>
      </c>
      <c r="K6" s="16">
        <v>44684247.031249948</v>
      </c>
      <c r="L6" s="16">
        <v>380.125</v>
      </c>
      <c r="M6" s="16">
        <v>117551.45552449839</v>
      </c>
      <c r="N6" s="16">
        <v>2212</v>
      </c>
      <c r="O6" s="16">
        <v>8</v>
      </c>
      <c r="P6" s="16">
        <v>357473976.24999958</v>
      </c>
      <c r="Q6" s="16">
        <v>60271799.640000023</v>
      </c>
      <c r="R6" s="16">
        <v>0.16860471990791551</v>
      </c>
      <c r="S6" s="16">
        <v>3041</v>
      </c>
      <c r="T6" s="16">
        <v>2212</v>
      </c>
      <c r="U6" s="16">
        <v>8</v>
      </c>
      <c r="V6" s="16">
        <v>93767006.989999995</v>
      </c>
      <c r="W6" s="16">
        <v>1298</v>
      </c>
      <c r="X6" s="16">
        <v>0.26230442834927931</v>
      </c>
      <c r="Y6" s="16">
        <v>0.73769557165072075</v>
      </c>
      <c r="Z6" s="16">
        <v>10281904.02</v>
      </c>
      <c r="AA6" s="16">
        <v>0.10965375082406691</v>
      </c>
      <c r="AB6" s="16">
        <v>1077</v>
      </c>
      <c r="AC6" s="16">
        <v>3077</v>
      </c>
      <c r="AD6" s="16">
        <v>2310</v>
      </c>
      <c r="AE6" s="16">
        <v>754</v>
      </c>
      <c r="AF6" s="16">
        <v>13</v>
      </c>
      <c r="AG6" s="16">
        <v>2997</v>
      </c>
      <c r="AH6" s="16">
        <v>2251</v>
      </c>
      <c r="AI6" s="16">
        <v>736</v>
      </c>
      <c r="AJ6" s="16">
        <v>10</v>
      </c>
      <c r="AK6" s="16">
        <v>204213</v>
      </c>
      <c r="AL6" s="16">
        <v>68.367258118513561</v>
      </c>
      <c r="AM6" s="16">
        <v>80</v>
      </c>
      <c r="AN6" s="16">
        <v>59</v>
      </c>
      <c r="AO6" s="16">
        <v>18</v>
      </c>
      <c r="AP6" s="16">
        <v>3</v>
      </c>
      <c r="AQ6" s="16">
        <v>299833</v>
      </c>
      <c r="AR6" s="16">
        <v>3893.9350649350649</v>
      </c>
      <c r="AS6" s="16">
        <v>20</v>
      </c>
      <c r="AT6" s="16">
        <v>3057</v>
      </c>
      <c r="AU6" s="16">
        <v>2307</v>
      </c>
      <c r="AV6" s="16">
        <v>737</v>
      </c>
      <c r="AW6" s="16">
        <v>13</v>
      </c>
      <c r="AX6" s="16">
        <v>2977</v>
      </c>
      <c r="AY6" s="16">
        <v>10</v>
      </c>
      <c r="AZ6" s="16">
        <v>200928</v>
      </c>
      <c r="BA6" s="16">
        <v>67.720930232558146</v>
      </c>
    </row>
    <row r="7" spans="1:53" x14ac:dyDescent="0.35">
      <c r="A7" s="26" t="s">
        <v>77</v>
      </c>
      <c r="B7" s="16" t="s">
        <v>78</v>
      </c>
      <c r="C7" s="16" t="s">
        <v>242</v>
      </c>
      <c r="D7" s="16" t="s">
        <v>15</v>
      </c>
      <c r="E7" s="16" t="s">
        <v>239</v>
      </c>
      <c r="F7" s="16">
        <v>8</v>
      </c>
      <c r="G7" s="16">
        <v>350169024.80999953</v>
      </c>
      <c r="H7" s="16">
        <v>3313</v>
      </c>
      <c r="I7" s="16">
        <v>64870995.109999977</v>
      </c>
      <c r="J7" s="16">
        <v>0.18525623488599191</v>
      </c>
      <c r="K7" s="16">
        <v>43771128.101249933</v>
      </c>
      <c r="L7" s="16">
        <v>414.125</v>
      </c>
      <c r="M7" s="16">
        <v>105695.449686085</v>
      </c>
      <c r="N7" s="16">
        <v>2287</v>
      </c>
      <c r="O7" s="16">
        <v>8</v>
      </c>
      <c r="P7" s="16">
        <v>350169024.80999953</v>
      </c>
      <c r="Q7" s="16">
        <v>64870995.109999977</v>
      </c>
      <c r="R7" s="16">
        <v>0.18525623488599191</v>
      </c>
      <c r="S7" s="16">
        <v>3313</v>
      </c>
      <c r="T7" s="16">
        <v>2287</v>
      </c>
      <c r="U7" s="16">
        <v>8</v>
      </c>
      <c r="V7" s="16">
        <v>70420933.659999996</v>
      </c>
      <c r="W7" s="16">
        <v>1126</v>
      </c>
      <c r="X7" s="16">
        <v>0.2011055480941244</v>
      </c>
      <c r="Y7" s="16">
        <v>0.7988944519058756</v>
      </c>
      <c r="Z7" s="16">
        <v>8080586.5500000017</v>
      </c>
      <c r="AA7" s="16">
        <v>0.11474693858809031</v>
      </c>
      <c r="AB7" s="16">
        <v>916</v>
      </c>
      <c r="AC7" s="16">
        <v>3366</v>
      </c>
      <c r="AD7" s="16">
        <v>3061</v>
      </c>
      <c r="AE7" s="16">
        <v>285</v>
      </c>
      <c r="AF7" s="16">
        <v>20</v>
      </c>
      <c r="AG7" s="16">
        <v>3281</v>
      </c>
      <c r="AH7" s="16">
        <v>3022</v>
      </c>
      <c r="AI7" s="16">
        <v>244</v>
      </c>
      <c r="AJ7" s="16">
        <v>15</v>
      </c>
      <c r="AK7" s="16">
        <v>144862</v>
      </c>
      <c r="AL7" s="16">
        <v>44.354562155541949</v>
      </c>
      <c r="AM7" s="16">
        <v>83</v>
      </c>
      <c r="AN7" s="16">
        <v>39</v>
      </c>
      <c r="AO7" s="16">
        <v>41</v>
      </c>
      <c r="AP7" s="16">
        <v>3</v>
      </c>
      <c r="AQ7" s="16">
        <v>341799</v>
      </c>
      <c r="AR7" s="16">
        <v>4272.4875000000002</v>
      </c>
      <c r="AS7" s="16">
        <v>43</v>
      </c>
      <c r="AT7" s="16">
        <v>3323</v>
      </c>
      <c r="AU7" s="16">
        <v>3056</v>
      </c>
      <c r="AV7" s="16">
        <v>251</v>
      </c>
      <c r="AW7" s="16">
        <v>16</v>
      </c>
      <c r="AX7" s="16">
        <v>3238</v>
      </c>
      <c r="AY7" s="16">
        <v>11</v>
      </c>
      <c r="AZ7" s="16">
        <v>141465</v>
      </c>
      <c r="BA7" s="16">
        <v>43.837929965912608</v>
      </c>
    </row>
    <row r="8" spans="1:53" x14ac:dyDescent="0.35">
      <c r="A8" s="26" t="s">
        <v>105</v>
      </c>
      <c r="B8" s="16" t="s">
        <v>106</v>
      </c>
      <c r="C8" s="16" t="s">
        <v>242</v>
      </c>
      <c r="D8" s="16" t="s">
        <v>15</v>
      </c>
      <c r="E8" s="16" t="s">
        <v>239</v>
      </c>
      <c r="F8" s="16">
        <v>8</v>
      </c>
      <c r="G8" s="16">
        <v>373973288.28999943</v>
      </c>
      <c r="H8" s="16">
        <v>3694</v>
      </c>
      <c r="I8" s="16">
        <v>66364508.209999964</v>
      </c>
      <c r="J8" s="16">
        <v>0.17745788345861019</v>
      </c>
      <c r="K8" s="16">
        <v>46746661.036249921</v>
      </c>
      <c r="L8" s="16">
        <v>461.75</v>
      </c>
      <c r="M8" s="16">
        <v>101238.03148077949</v>
      </c>
      <c r="N8" s="16">
        <v>2442</v>
      </c>
      <c r="O8" s="16">
        <v>8</v>
      </c>
      <c r="P8" s="16">
        <v>373973288.28999943</v>
      </c>
      <c r="Q8" s="16">
        <v>66364508.209999964</v>
      </c>
      <c r="R8" s="16">
        <v>0.17745788345861019</v>
      </c>
      <c r="S8" s="16">
        <v>3694</v>
      </c>
      <c r="T8" s="16">
        <v>2442</v>
      </c>
      <c r="U8" s="16">
        <v>8</v>
      </c>
      <c r="V8" s="16">
        <v>84024937.120000035</v>
      </c>
      <c r="W8" s="16">
        <v>1347</v>
      </c>
      <c r="X8" s="16">
        <v>0.22468165441496049</v>
      </c>
      <c r="Y8" s="16">
        <v>0.77531834558503943</v>
      </c>
      <c r="Z8" s="16">
        <v>9999163.9000000004</v>
      </c>
      <c r="AA8" s="16">
        <v>0.1190023371956794</v>
      </c>
      <c r="AB8" s="16">
        <v>1101</v>
      </c>
      <c r="AC8" s="16">
        <v>3741</v>
      </c>
      <c r="AD8" s="16">
        <v>3407</v>
      </c>
      <c r="AE8" s="16">
        <v>323</v>
      </c>
      <c r="AF8" s="16">
        <v>11</v>
      </c>
      <c r="AG8" s="16">
        <v>3645</v>
      </c>
      <c r="AH8" s="16">
        <v>3324</v>
      </c>
      <c r="AI8" s="16">
        <v>312</v>
      </c>
      <c r="AJ8" s="16">
        <v>9</v>
      </c>
      <c r="AK8" s="16">
        <v>157547</v>
      </c>
      <c r="AL8" s="16">
        <v>43.329757975797577</v>
      </c>
      <c r="AM8" s="16">
        <v>95</v>
      </c>
      <c r="AN8" s="16">
        <v>83</v>
      </c>
      <c r="AO8" s="16">
        <v>11</v>
      </c>
      <c r="AP8" s="16">
        <v>1</v>
      </c>
      <c r="AQ8" s="16">
        <v>303608</v>
      </c>
      <c r="AR8" s="16">
        <v>3229.872340425532</v>
      </c>
      <c r="AS8" s="16">
        <v>3</v>
      </c>
      <c r="AT8" s="16">
        <v>3738</v>
      </c>
      <c r="AU8" s="16">
        <v>3407</v>
      </c>
      <c r="AV8" s="16">
        <v>320</v>
      </c>
      <c r="AW8" s="16">
        <v>11</v>
      </c>
      <c r="AX8" s="16">
        <v>3642</v>
      </c>
      <c r="AY8" s="16">
        <v>9</v>
      </c>
      <c r="AZ8" s="16">
        <v>157341</v>
      </c>
      <c r="BA8" s="16">
        <v>43.308835672997517</v>
      </c>
    </row>
    <row r="9" spans="1:53" x14ac:dyDescent="0.35">
      <c r="A9" s="26" t="s">
        <v>97</v>
      </c>
      <c r="B9" s="16" t="s">
        <v>98</v>
      </c>
      <c r="C9" s="16" t="s">
        <v>242</v>
      </c>
      <c r="D9" s="16" t="s">
        <v>15</v>
      </c>
      <c r="E9" s="16" t="s">
        <v>239</v>
      </c>
      <c r="F9" s="16">
        <v>8</v>
      </c>
      <c r="G9" s="16">
        <v>502864257.87999928</v>
      </c>
      <c r="H9" s="16">
        <v>4324</v>
      </c>
      <c r="I9" s="16">
        <v>82800894.089999914</v>
      </c>
      <c r="J9" s="16">
        <v>0.1646585391434979</v>
      </c>
      <c r="K9" s="16">
        <v>62858032.234999917</v>
      </c>
      <c r="L9" s="16">
        <v>540.5</v>
      </c>
      <c r="M9" s="16">
        <v>116296.0818408879</v>
      </c>
      <c r="N9" s="16">
        <v>3013</v>
      </c>
      <c r="O9" s="16">
        <v>8</v>
      </c>
      <c r="P9" s="16">
        <v>502864257.87999928</v>
      </c>
      <c r="Q9" s="16">
        <v>82800894.089999914</v>
      </c>
      <c r="R9" s="16">
        <v>0.1646585391434979</v>
      </c>
      <c r="S9" s="16">
        <v>4324</v>
      </c>
      <c r="T9" s="16">
        <v>3013</v>
      </c>
      <c r="U9" s="16">
        <v>8</v>
      </c>
      <c r="V9" s="16">
        <v>120137635.54000001</v>
      </c>
      <c r="W9" s="16">
        <v>1589</v>
      </c>
      <c r="X9" s="16">
        <v>0.23890669033922271</v>
      </c>
      <c r="Y9" s="16">
        <v>0.76109330966077726</v>
      </c>
      <c r="Z9" s="16">
        <v>12452819.279999999</v>
      </c>
      <c r="AA9" s="16">
        <v>0.1036546060193919</v>
      </c>
      <c r="AB9" s="16">
        <v>1310</v>
      </c>
      <c r="AC9" s="16">
        <v>4384</v>
      </c>
      <c r="AD9" s="16">
        <v>2932</v>
      </c>
      <c r="AE9" s="16">
        <v>1436</v>
      </c>
      <c r="AF9" s="16">
        <v>16</v>
      </c>
      <c r="AG9" s="16">
        <v>4204</v>
      </c>
      <c r="AH9" s="16">
        <v>2812</v>
      </c>
      <c r="AI9" s="16">
        <v>1384</v>
      </c>
      <c r="AJ9" s="16">
        <v>8</v>
      </c>
      <c r="AK9" s="16">
        <v>318038</v>
      </c>
      <c r="AL9" s="16">
        <v>75.79551954242136</v>
      </c>
      <c r="AM9" s="16">
        <v>173</v>
      </c>
      <c r="AN9" s="16">
        <v>120</v>
      </c>
      <c r="AO9" s="16">
        <v>52</v>
      </c>
      <c r="AP9" s="16">
        <v>1</v>
      </c>
      <c r="AQ9" s="16">
        <v>761347</v>
      </c>
      <c r="AR9" s="16">
        <v>4426.4360465116279</v>
      </c>
      <c r="AS9" s="16">
        <v>41</v>
      </c>
      <c r="AT9" s="16">
        <v>4343</v>
      </c>
      <c r="AU9" s="16">
        <v>2922</v>
      </c>
      <c r="AV9" s="16">
        <v>1405</v>
      </c>
      <c r="AW9" s="16">
        <v>16</v>
      </c>
      <c r="AX9" s="16">
        <v>4163</v>
      </c>
      <c r="AY9" s="16">
        <v>8</v>
      </c>
      <c r="AZ9" s="16">
        <v>314163</v>
      </c>
      <c r="BA9" s="16">
        <v>75.610830324909742</v>
      </c>
    </row>
    <row r="10" spans="1:53" x14ac:dyDescent="0.35">
      <c r="A10" s="26" t="s">
        <v>63</v>
      </c>
      <c r="B10" s="16" t="s">
        <v>64</v>
      </c>
      <c r="C10" s="16" t="s">
        <v>242</v>
      </c>
      <c r="D10" s="16" t="s">
        <v>15</v>
      </c>
      <c r="E10" s="16" t="s">
        <v>239</v>
      </c>
      <c r="F10" s="16">
        <v>8</v>
      </c>
      <c r="G10" s="16">
        <v>415212424.34999931</v>
      </c>
      <c r="H10" s="16">
        <v>3656</v>
      </c>
      <c r="I10" s="16">
        <v>73152918.550000057</v>
      </c>
      <c r="J10" s="16">
        <v>0.1761819113782985</v>
      </c>
      <c r="K10" s="16">
        <v>51901553.043749914</v>
      </c>
      <c r="L10" s="16">
        <v>457</v>
      </c>
      <c r="M10" s="16">
        <v>113570.1379513127</v>
      </c>
      <c r="N10" s="16">
        <v>2590</v>
      </c>
      <c r="O10" s="16">
        <v>8</v>
      </c>
      <c r="P10" s="16">
        <v>415212424.34999931</v>
      </c>
      <c r="Q10" s="16">
        <v>73152918.550000057</v>
      </c>
      <c r="R10" s="16">
        <v>0.1761819113782985</v>
      </c>
      <c r="S10" s="16">
        <v>3656</v>
      </c>
      <c r="T10" s="16">
        <v>2590</v>
      </c>
      <c r="U10" s="16">
        <v>8</v>
      </c>
      <c r="V10" s="16">
        <v>91561418.450000018</v>
      </c>
      <c r="W10" s="16">
        <v>1355</v>
      </c>
      <c r="X10" s="16">
        <v>0.22051704881744871</v>
      </c>
      <c r="Y10" s="16">
        <v>0.77948295118255129</v>
      </c>
      <c r="Z10" s="16">
        <v>10273886.460000001</v>
      </c>
      <c r="AA10" s="16">
        <v>0.1122075939180691</v>
      </c>
      <c r="AB10" s="16">
        <v>1134</v>
      </c>
      <c r="AC10" s="16">
        <v>3700</v>
      </c>
      <c r="AD10" s="16">
        <v>3153</v>
      </c>
      <c r="AE10" s="16">
        <v>529</v>
      </c>
      <c r="AF10" s="16">
        <v>18</v>
      </c>
      <c r="AG10" s="16">
        <v>3602</v>
      </c>
      <c r="AH10" s="16">
        <v>3112</v>
      </c>
      <c r="AI10" s="16">
        <v>478</v>
      </c>
      <c r="AJ10" s="16">
        <v>12</v>
      </c>
      <c r="AK10" s="16">
        <v>204488</v>
      </c>
      <c r="AL10" s="16">
        <v>56.960445682451251</v>
      </c>
      <c r="AM10" s="16">
        <v>96</v>
      </c>
      <c r="AN10" s="16">
        <v>41</v>
      </c>
      <c r="AO10" s="16">
        <v>51</v>
      </c>
      <c r="AP10" s="16">
        <v>4</v>
      </c>
      <c r="AQ10" s="16">
        <v>429768</v>
      </c>
      <c r="AR10" s="16">
        <v>4671.391304347826</v>
      </c>
      <c r="AS10" s="16">
        <v>75</v>
      </c>
      <c r="AT10" s="16">
        <v>3625</v>
      </c>
      <c r="AU10" s="16">
        <v>3141</v>
      </c>
      <c r="AV10" s="16">
        <v>468</v>
      </c>
      <c r="AW10" s="16">
        <v>16</v>
      </c>
      <c r="AX10" s="16">
        <v>3529</v>
      </c>
      <c r="AY10" s="16">
        <v>10</v>
      </c>
      <c r="AZ10" s="16">
        <v>198038</v>
      </c>
      <c r="BA10" s="16">
        <v>56.276783177038929</v>
      </c>
    </row>
    <row r="11" spans="1:53" x14ac:dyDescent="0.35">
      <c r="A11" s="26" t="s">
        <v>65</v>
      </c>
      <c r="B11" s="16" t="s">
        <v>66</v>
      </c>
      <c r="C11" s="16" t="s">
        <v>242</v>
      </c>
      <c r="D11" s="16" t="s">
        <v>15</v>
      </c>
      <c r="E11" s="16" t="s">
        <v>239</v>
      </c>
      <c r="F11" s="16">
        <v>8</v>
      </c>
      <c r="G11" s="16">
        <v>325043702.50999969</v>
      </c>
      <c r="H11" s="16">
        <v>2872</v>
      </c>
      <c r="I11" s="16">
        <v>54238642.620000057</v>
      </c>
      <c r="J11" s="16">
        <v>0.1668656928319707</v>
      </c>
      <c r="K11" s="16">
        <v>40630462.813749962</v>
      </c>
      <c r="L11" s="16">
        <v>359</v>
      </c>
      <c r="M11" s="16">
        <v>113176.776639972</v>
      </c>
      <c r="N11" s="16">
        <v>2060</v>
      </c>
      <c r="O11" s="16">
        <v>8</v>
      </c>
      <c r="P11" s="16">
        <v>325043702.50999969</v>
      </c>
      <c r="Q11" s="16">
        <v>54238642.620000057</v>
      </c>
      <c r="R11" s="16">
        <v>0.1668656928319707</v>
      </c>
      <c r="S11" s="16">
        <v>2872</v>
      </c>
      <c r="T11" s="16">
        <v>2060</v>
      </c>
      <c r="U11" s="16">
        <v>8</v>
      </c>
      <c r="V11" s="16">
        <v>64129316</v>
      </c>
      <c r="W11" s="16">
        <v>998</v>
      </c>
      <c r="X11" s="16">
        <v>0.1972944422697348</v>
      </c>
      <c r="Y11" s="16">
        <v>0.8027055577302652</v>
      </c>
      <c r="Z11" s="16">
        <v>6919127.8600000022</v>
      </c>
      <c r="AA11" s="16">
        <v>0.1078933675200902</v>
      </c>
      <c r="AB11" s="16">
        <v>853</v>
      </c>
      <c r="AC11" s="16">
        <v>2896</v>
      </c>
      <c r="AD11" s="16">
        <v>2075</v>
      </c>
      <c r="AE11" s="16">
        <v>809</v>
      </c>
      <c r="AF11" s="16">
        <v>12</v>
      </c>
      <c r="AG11" s="16">
        <v>2841</v>
      </c>
      <c r="AH11" s="16">
        <v>2037</v>
      </c>
      <c r="AI11" s="16">
        <v>794</v>
      </c>
      <c r="AJ11" s="16">
        <v>10</v>
      </c>
      <c r="AK11" s="16">
        <v>170900</v>
      </c>
      <c r="AL11" s="16">
        <v>60.367361356411159</v>
      </c>
      <c r="AM11" s="16">
        <v>54</v>
      </c>
      <c r="AN11" s="16">
        <v>38</v>
      </c>
      <c r="AO11" s="16">
        <v>15</v>
      </c>
      <c r="AP11" s="16">
        <v>1</v>
      </c>
      <c r="AQ11" s="16">
        <v>237620</v>
      </c>
      <c r="AR11" s="16">
        <v>4483.3962264150941</v>
      </c>
      <c r="AS11" s="16">
        <v>46</v>
      </c>
      <c r="AT11" s="16">
        <v>2850</v>
      </c>
      <c r="AU11" s="16">
        <v>2062</v>
      </c>
      <c r="AV11" s="16">
        <v>777</v>
      </c>
      <c r="AW11" s="16">
        <v>11</v>
      </c>
      <c r="AX11" s="16">
        <v>2796</v>
      </c>
      <c r="AY11" s="16">
        <v>9</v>
      </c>
      <c r="AZ11" s="16">
        <v>166100</v>
      </c>
      <c r="BA11" s="16">
        <v>59.598134194474348</v>
      </c>
    </row>
    <row r="12" spans="1:53" x14ac:dyDescent="0.35">
      <c r="A12" s="26" t="s">
        <v>48</v>
      </c>
      <c r="B12" s="16" t="s">
        <v>49</v>
      </c>
      <c r="C12" s="16" t="s">
        <v>242</v>
      </c>
      <c r="D12" s="16" t="s">
        <v>15</v>
      </c>
      <c r="E12" s="16" t="s">
        <v>239</v>
      </c>
      <c r="F12" s="16">
        <v>8</v>
      </c>
      <c r="G12" s="16">
        <v>450727852.26999933</v>
      </c>
      <c r="H12" s="16">
        <v>4409</v>
      </c>
      <c r="I12" s="16">
        <v>79495936.199999988</v>
      </c>
      <c r="J12" s="16">
        <v>0.17637236261223899</v>
      </c>
      <c r="K12" s="16">
        <v>56340981.533749923</v>
      </c>
      <c r="L12" s="16">
        <v>551.125</v>
      </c>
      <c r="M12" s="16">
        <v>102229.04338171909</v>
      </c>
      <c r="N12" s="16">
        <v>3203</v>
      </c>
      <c r="O12" s="16">
        <v>8</v>
      </c>
      <c r="P12" s="16">
        <v>450727852.26999933</v>
      </c>
      <c r="Q12" s="16">
        <v>79495936.199999988</v>
      </c>
      <c r="R12" s="16">
        <v>0.17637236261223899</v>
      </c>
      <c r="S12" s="16">
        <v>4409</v>
      </c>
      <c r="T12" s="16">
        <v>3203</v>
      </c>
      <c r="U12" s="16">
        <v>8</v>
      </c>
      <c r="V12" s="16">
        <v>81064497.539999992</v>
      </c>
      <c r="W12" s="16">
        <v>1310</v>
      </c>
      <c r="X12" s="16">
        <v>0.1798524256527195</v>
      </c>
      <c r="Y12" s="16">
        <v>0.82014757434728047</v>
      </c>
      <c r="Z12" s="16">
        <v>8969224.4600000028</v>
      </c>
      <c r="AA12" s="16">
        <v>0.1106430648703433</v>
      </c>
      <c r="AB12" s="16">
        <v>1139</v>
      </c>
      <c r="AC12" s="16">
        <v>4503</v>
      </c>
      <c r="AD12" s="16">
        <v>2343</v>
      </c>
      <c r="AE12" s="16">
        <v>2127</v>
      </c>
      <c r="AF12" s="16">
        <v>33</v>
      </c>
      <c r="AG12" s="16">
        <v>4277</v>
      </c>
      <c r="AH12" s="16">
        <v>2221</v>
      </c>
      <c r="AI12" s="16">
        <v>2036</v>
      </c>
      <c r="AJ12" s="16">
        <v>20</v>
      </c>
      <c r="AK12" s="16">
        <v>311684</v>
      </c>
      <c r="AL12" s="16">
        <v>73.216819356354236</v>
      </c>
      <c r="AM12" s="16">
        <v>225</v>
      </c>
      <c r="AN12" s="16">
        <v>122</v>
      </c>
      <c r="AO12" s="16">
        <v>91</v>
      </c>
      <c r="AP12" s="16">
        <v>12</v>
      </c>
      <c r="AQ12" s="16">
        <v>955419</v>
      </c>
      <c r="AR12" s="16">
        <v>4485.5352112676064</v>
      </c>
      <c r="AS12" s="16">
        <v>52</v>
      </c>
      <c r="AT12" s="16">
        <v>4451</v>
      </c>
      <c r="AU12" s="16">
        <v>2327</v>
      </c>
      <c r="AV12" s="16">
        <v>2094</v>
      </c>
      <c r="AW12" s="16">
        <v>30</v>
      </c>
      <c r="AX12" s="16">
        <v>4228</v>
      </c>
      <c r="AY12" s="16">
        <v>18</v>
      </c>
      <c r="AZ12" s="16">
        <v>307600</v>
      </c>
      <c r="BA12" s="16">
        <v>73.064133016627082</v>
      </c>
    </row>
    <row r="13" spans="1:53" x14ac:dyDescent="0.35">
      <c r="A13" s="26" t="s">
        <v>143</v>
      </c>
      <c r="B13" s="16" t="s">
        <v>144</v>
      </c>
      <c r="C13" s="16" t="s">
        <v>242</v>
      </c>
      <c r="D13" s="16" t="s">
        <v>15</v>
      </c>
      <c r="E13" s="16" t="s">
        <v>239</v>
      </c>
      <c r="F13" s="16">
        <v>8</v>
      </c>
      <c r="G13" s="16">
        <v>517217168.10999942</v>
      </c>
      <c r="H13" s="16">
        <v>4758</v>
      </c>
      <c r="I13" s="16">
        <v>88502843.390000001</v>
      </c>
      <c r="J13" s="16">
        <v>0.17111350675656151</v>
      </c>
      <c r="K13" s="16">
        <v>64652146.01374992</v>
      </c>
      <c r="L13" s="16">
        <v>594.75</v>
      </c>
      <c r="M13" s="16">
        <v>108704.74319251769</v>
      </c>
      <c r="N13" s="16">
        <v>3346</v>
      </c>
      <c r="O13" s="16">
        <v>8</v>
      </c>
      <c r="P13" s="16">
        <v>517217168.10999942</v>
      </c>
      <c r="Q13" s="16">
        <v>88502843.390000001</v>
      </c>
      <c r="R13" s="16">
        <v>0.17111350675656151</v>
      </c>
      <c r="S13" s="16">
        <v>4758</v>
      </c>
      <c r="T13" s="16">
        <v>3346</v>
      </c>
      <c r="U13" s="16">
        <v>8</v>
      </c>
      <c r="V13" s="16">
        <v>115250574.67</v>
      </c>
      <c r="W13" s="16">
        <v>1574</v>
      </c>
      <c r="X13" s="16">
        <v>0.222828207909543</v>
      </c>
      <c r="Y13" s="16">
        <v>0.77717179209045706</v>
      </c>
      <c r="Z13" s="16">
        <v>12922132.699999999</v>
      </c>
      <c r="AA13" s="16">
        <v>0.1121220673909895</v>
      </c>
      <c r="AB13" s="16">
        <v>1326</v>
      </c>
      <c r="AC13" s="16">
        <v>4823</v>
      </c>
      <c r="AD13" s="16">
        <v>2982</v>
      </c>
      <c r="AE13" s="16">
        <v>1822</v>
      </c>
      <c r="AF13" s="16">
        <v>19</v>
      </c>
      <c r="AG13" s="16">
        <v>4604</v>
      </c>
      <c r="AH13" s="16">
        <v>2840</v>
      </c>
      <c r="AI13" s="16">
        <v>1751</v>
      </c>
      <c r="AJ13" s="16">
        <v>13</v>
      </c>
      <c r="AK13" s="16">
        <v>295531</v>
      </c>
      <c r="AL13" s="16">
        <v>64.37181441951644</v>
      </c>
      <c r="AM13" s="16">
        <v>217</v>
      </c>
      <c r="AN13" s="16">
        <v>142</v>
      </c>
      <c r="AO13" s="16">
        <v>71</v>
      </c>
      <c r="AP13" s="16">
        <v>4</v>
      </c>
      <c r="AQ13" s="16">
        <v>985051</v>
      </c>
      <c r="AR13" s="16">
        <v>4624.6525821596242</v>
      </c>
      <c r="AS13" s="16">
        <v>4</v>
      </c>
      <c r="AT13" s="16">
        <v>4819</v>
      </c>
      <c r="AU13" s="16">
        <v>2980</v>
      </c>
      <c r="AV13" s="16">
        <v>1820</v>
      </c>
      <c r="AW13" s="16">
        <v>19</v>
      </c>
      <c r="AX13" s="16">
        <v>4600</v>
      </c>
      <c r="AY13" s="16">
        <v>13</v>
      </c>
      <c r="AZ13" s="16">
        <v>295267</v>
      </c>
      <c r="BA13" s="16">
        <v>64.370394593416179</v>
      </c>
    </row>
    <row r="14" spans="1:53" x14ac:dyDescent="0.35">
      <c r="A14" s="26" t="s">
        <v>32</v>
      </c>
      <c r="B14" s="16" t="s">
        <v>33</v>
      </c>
      <c r="C14" s="16" t="s">
        <v>243</v>
      </c>
      <c r="D14" s="16" t="s">
        <v>34</v>
      </c>
      <c r="E14" s="16" t="s">
        <v>239</v>
      </c>
      <c r="F14" s="16">
        <v>8</v>
      </c>
      <c r="G14" s="16">
        <v>330351051.36999953</v>
      </c>
      <c r="H14" s="16">
        <v>3004</v>
      </c>
      <c r="I14" s="16">
        <v>58556887.25</v>
      </c>
      <c r="J14" s="16">
        <v>0.17725654877488239</v>
      </c>
      <c r="K14" s="16">
        <v>41293881.421249941</v>
      </c>
      <c r="L14" s="16">
        <v>375.5</v>
      </c>
      <c r="M14" s="16">
        <v>109970.3899367508</v>
      </c>
      <c r="N14" s="16">
        <v>2082</v>
      </c>
      <c r="O14" s="16">
        <v>8</v>
      </c>
      <c r="P14" s="16">
        <v>330351051.36999953</v>
      </c>
      <c r="Q14" s="16">
        <v>58556887.25</v>
      </c>
      <c r="R14" s="16">
        <v>0.17725654877488239</v>
      </c>
      <c r="S14" s="16">
        <v>3004</v>
      </c>
      <c r="T14" s="16">
        <v>2082</v>
      </c>
      <c r="U14" s="16">
        <v>8</v>
      </c>
      <c r="V14" s="16">
        <v>44695765.960000008</v>
      </c>
      <c r="W14" s="16">
        <v>648</v>
      </c>
      <c r="X14" s="16">
        <v>0.13529778632349471</v>
      </c>
      <c r="Y14" s="16">
        <v>0.86470221367650535</v>
      </c>
      <c r="Z14" s="16">
        <v>4652310.8899999997</v>
      </c>
      <c r="AA14" s="16">
        <v>0.1040884027843607</v>
      </c>
      <c r="AB14" s="16">
        <v>549</v>
      </c>
      <c r="AC14" s="16">
        <v>3115</v>
      </c>
      <c r="AD14" s="16">
        <v>2724</v>
      </c>
      <c r="AE14" s="16">
        <v>304</v>
      </c>
      <c r="AF14" s="16">
        <v>87</v>
      </c>
      <c r="AG14" s="16">
        <v>3045</v>
      </c>
      <c r="AH14" s="16">
        <v>2663</v>
      </c>
      <c r="AI14" s="16">
        <v>304</v>
      </c>
      <c r="AJ14" s="16">
        <v>78</v>
      </c>
      <c r="AK14" s="16">
        <v>138782</v>
      </c>
      <c r="AL14" s="16">
        <v>46.775193798449607</v>
      </c>
      <c r="AM14" s="16">
        <v>66</v>
      </c>
      <c r="AN14" s="16">
        <v>61</v>
      </c>
      <c r="AO14" s="16">
        <v>0</v>
      </c>
      <c r="AP14" s="16">
        <v>5</v>
      </c>
      <c r="AQ14" s="16">
        <v>144604</v>
      </c>
      <c r="AR14" s="16">
        <v>2370.5573770491801</v>
      </c>
      <c r="AS14" s="16">
        <v>44</v>
      </c>
      <c r="AT14" s="16">
        <v>3071</v>
      </c>
      <c r="AU14" s="16">
        <v>2708</v>
      </c>
      <c r="AV14" s="16">
        <v>283</v>
      </c>
      <c r="AW14" s="16">
        <v>80</v>
      </c>
      <c r="AX14" s="16">
        <v>3003</v>
      </c>
      <c r="AY14" s="16">
        <v>73</v>
      </c>
      <c r="AZ14" s="16">
        <v>135845</v>
      </c>
      <c r="BA14" s="16">
        <v>46.363481228668952</v>
      </c>
    </row>
    <row r="15" spans="1:53" x14ac:dyDescent="0.35">
      <c r="A15" s="26" t="s">
        <v>16</v>
      </c>
      <c r="B15" s="16" t="s">
        <v>17</v>
      </c>
      <c r="C15" s="16" t="s">
        <v>244</v>
      </c>
      <c r="D15" s="16" t="s">
        <v>12</v>
      </c>
      <c r="E15" s="16" t="s">
        <v>239</v>
      </c>
      <c r="F15" s="16">
        <v>8</v>
      </c>
      <c r="G15" s="16">
        <v>293412983</v>
      </c>
      <c r="H15" s="16">
        <v>2480</v>
      </c>
      <c r="I15" s="16">
        <v>56800604.679999977</v>
      </c>
      <c r="J15" s="16">
        <v>0.193585860104902</v>
      </c>
      <c r="K15" s="16">
        <v>36676622.875</v>
      </c>
      <c r="L15" s="16">
        <v>310</v>
      </c>
      <c r="M15" s="16">
        <v>118311.6866935484</v>
      </c>
      <c r="N15" s="16">
        <v>1781</v>
      </c>
      <c r="O15" s="16">
        <v>8</v>
      </c>
      <c r="P15" s="16">
        <v>293412983</v>
      </c>
      <c r="Q15" s="16">
        <v>56800604.679999977</v>
      </c>
      <c r="R15" s="16">
        <v>0.193585860104902</v>
      </c>
      <c r="S15" s="16">
        <v>2480</v>
      </c>
      <c r="T15" s="16">
        <v>1781</v>
      </c>
      <c r="U15" s="16">
        <v>8</v>
      </c>
      <c r="V15" s="16">
        <v>60200350</v>
      </c>
      <c r="W15" s="16">
        <v>717</v>
      </c>
      <c r="X15" s="16">
        <v>0.20517275474480279</v>
      </c>
      <c r="Y15" s="16">
        <v>0.79482724525519721</v>
      </c>
      <c r="Z15" s="16">
        <v>9565337.0800000019</v>
      </c>
      <c r="AA15" s="16">
        <v>0.15889171873585459</v>
      </c>
      <c r="AB15" s="16">
        <v>606</v>
      </c>
      <c r="AC15" s="16">
        <v>2522</v>
      </c>
      <c r="AD15" s="16">
        <v>2384</v>
      </c>
      <c r="AE15" s="16">
        <v>116</v>
      </c>
      <c r="AF15" s="16">
        <v>22</v>
      </c>
      <c r="AG15" s="16">
        <v>2476</v>
      </c>
      <c r="AH15" s="16">
        <v>2341</v>
      </c>
      <c r="AI15" s="16">
        <v>116</v>
      </c>
      <c r="AJ15" s="16">
        <v>19</v>
      </c>
      <c r="AK15" s="16">
        <v>147155</v>
      </c>
      <c r="AL15" s="16">
        <v>59.892144892144891</v>
      </c>
      <c r="AM15" s="16">
        <v>45</v>
      </c>
      <c r="AN15" s="16">
        <v>43</v>
      </c>
      <c r="AO15" s="16">
        <v>0</v>
      </c>
      <c r="AP15" s="16">
        <v>2</v>
      </c>
      <c r="AQ15" s="16">
        <v>94905</v>
      </c>
      <c r="AR15" s="16">
        <v>2207.0930232558139</v>
      </c>
      <c r="AS15" s="16">
        <v>19</v>
      </c>
      <c r="AT15" s="16">
        <v>2503</v>
      </c>
      <c r="AU15" s="16">
        <v>2375</v>
      </c>
      <c r="AV15" s="16">
        <v>108</v>
      </c>
      <c r="AW15" s="16">
        <v>20</v>
      </c>
      <c r="AX15" s="16">
        <v>2461</v>
      </c>
      <c r="AY15" s="16">
        <v>18</v>
      </c>
      <c r="AZ15" s="16">
        <v>144378</v>
      </c>
      <c r="BA15" s="16">
        <v>59.098649201801067</v>
      </c>
    </row>
    <row r="16" spans="1:53" x14ac:dyDescent="0.35">
      <c r="A16" s="26" t="s">
        <v>10</v>
      </c>
      <c r="B16" s="16" t="s">
        <v>11</v>
      </c>
      <c r="C16" s="16" t="s">
        <v>244</v>
      </c>
      <c r="D16" s="16" t="s">
        <v>12</v>
      </c>
      <c r="E16" s="16" t="s">
        <v>239</v>
      </c>
      <c r="F16" s="16">
        <v>8</v>
      </c>
      <c r="G16" s="16">
        <v>314544982</v>
      </c>
      <c r="H16" s="16">
        <v>2739</v>
      </c>
      <c r="I16" s="16">
        <v>59664024.330000013</v>
      </c>
      <c r="J16" s="16">
        <v>0.1896835993079044</v>
      </c>
      <c r="K16" s="16">
        <v>39318122.75</v>
      </c>
      <c r="L16" s="16">
        <v>342.375</v>
      </c>
      <c r="M16" s="16">
        <v>114839.35085797741</v>
      </c>
      <c r="N16" s="16">
        <v>1881</v>
      </c>
      <c r="O16" s="16">
        <v>8</v>
      </c>
      <c r="P16" s="16">
        <v>314544982</v>
      </c>
      <c r="Q16" s="16">
        <v>59664024.330000013</v>
      </c>
      <c r="R16" s="16">
        <v>0.1896835993079044</v>
      </c>
      <c r="S16" s="16">
        <v>2739</v>
      </c>
      <c r="T16" s="16">
        <v>1881</v>
      </c>
      <c r="U16" s="16">
        <v>8</v>
      </c>
      <c r="V16" s="16">
        <v>63506600</v>
      </c>
      <c r="W16" s="16">
        <v>749</v>
      </c>
      <c r="X16" s="16">
        <v>0.20189989869239119</v>
      </c>
      <c r="Y16" s="16">
        <v>0.79810010130760878</v>
      </c>
      <c r="Z16" s="16">
        <v>10161774.93</v>
      </c>
      <c r="AA16" s="16">
        <v>0.16001132055565881</v>
      </c>
      <c r="AB16" s="16">
        <v>603</v>
      </c>
      <c r="AC16" s="16">
        <v>2778</v>
      </c>
      <c r="AD16" s="16">
        <v>2706</v>
      </c>
      <c r="AE16" s="16">
        <v>52</v>
      </c>
      <c r="AF16" s="16">
        <v>20</v>
      </c>
      <c r="AG16" s="16">
        <v>2737</v>
      </c>
      <c r="AH16" s="16">
        <v>2674</v>
      </c>
      <c r="AI16" s="16">
        <v>48</v>
      </c>
      <c r="AJ16" s="16">
        <v>15</v>
      </c>
      <c r="AK16" s="16">
        <v>161000</v>
      </c>
      <c r="AL16" s="16">
        <v>59.147685525349011</v>
      </c>
      <c r="AM16" s="16">
        <v>41</v>
      </c>
      <c r="AN16" s="16">
        <v>32</v>
      </c>
      <c r="AO16" s="16">
        <v>4</v>
      </c>
      <c r="AP16" s="16">
        <v>5</v>
      </c>
      <c r="AQ16" s="16">
        <v>115011</v>
      </c>
      <c r="AR16" s="16">
        <v>3194.75</v>
      </c>
      <c r="AS16" s="16">
        <v>36</v>
      </c>
      <c r="AT16" s="16">
        <v>2742</v>
      </c>
      <c r="AU16" s="16">
        <v>2691</v>
      </c>
      <c r="AV16" s="16">
        <v>32</v>
      </c>
      <c r="AW16" s="16">
        <v>19</v>
      </c>
      <c r="AX16" s="16">
        <v>2701</v>
      </c>
      <c r="AY16" s="16">
        <v>14</v>
      </c>
      <c r="AZ16" s="16">
        <v>156883</v>
      </c>
      <c r="BA16" s="16">
        <v>58.385932266468181</v>
      </c>
    </row>
    <row r="17" spans="1:53" x14ac:dyDescent="0.35">
      <c r="A17" s="26" t="s">
        <v>90</v>
      </c>
      <c r="B17" s="16" t="s">
        <v>91</v>
      </c>
      <c r="C17" s="16" t="s">
        <v>245</v>
      </c>
      <c r="D17" s="16" t="s">
        <v>92</v>
      </c>
      <c r="E17" s="16" t="s">
        <v>239</v>
      </c>
      <c r="F17" s="16">
        <v>8</v>
      </c>
      <c r="G17" s="16">
        <v>447931888.18999898</v>
      </c>
      <c r="H17" s="16">
        <v>5799</v>
      </c>
      <c r="I17" s="16">
        <v>85499932.410000056</v>
      </c>
      <c r="J17" s="16">
        <v>0.1908770834679526</v>
      </c>
      <c r="K17" s="16">
        <v>55991486.023749873</v>
      </c>
      <c r="L17" s="16">
        <v>724.875</v>
      </c>
      <c r="M17" s="16">
        <v>77242.953645455942</v>
      </c>
      <c r="N17" s="16">
        <v>4289</v>
      </c>
      <c r="O17" s="16">
        <v>8</v>
      </c>
      <c r="P17" s="16">
        <v>447931888.18999898</v>
      </c>
      <c r="Q17" s="16">
        <v>85499932.410000056</v>
      </c>
      <c r="R17" s="16">
        <v>0.1908770834679526</v>
      </c>
      <c r="S17" s="16">
        <v>5799</v>
      </c>
      <c r="T17" s="16">
        <v>4289</v>
      </c>
      <c r="U17" s="16">
        <v>8</v>
      </c>
      <c r="V17" s="16">
        <v>67979843.980000004</v>
      </c>
      <c r="W17" s="16">
        <v>1448</v>
      </c>
      <c r="X17" s="16">
        <v>0.15176379662250131</v>
      </c>
      <c r="Y17" s="16">
        <v>0.84823620337749872</v>
      </c>
      <c r="Z17" s="16">
        <v>8165306.5900000017</v>
      </c>
      <c r="AA17" s="16">
        <v>0.1201136412199221</v>
      </c>
      <c r="AB17" s="16">
        <v>1258</v>
      </c>
      <c r="AC17" s="16">
        <v>5855</v>
      </c>
      <c r="AD17" s="16">
        <v>4861</v>
      </c>
      <c r="AE17" s="16">
        <v>955</v>
      </c>
      <c r="AF17" s="16">
        <v>39</v>
      </c>
      <c r="AG17" s="16">
        <v>5821</v>
      </c>
      <c r="AH17" s="16">
        <v>4828</v>
      </c>
      <c r="AI17" s="16">
        <v>955</v>
      </c>
      <c r="AJ17" s="16">
        <v>38</v>
      </c>
      <c r="AK17" s="16">
        <v>302607</v>
      </c>
      <c r="AL17" s="16">
        <v>52.326992910254191</v>
      </c>
      <c r="AM17" s="16">
        <v>33</v>
      </c>
      <c r="AN17" s="16">
        <v>33</v>
      </c>
      <c r="AO17" s="16">
        <v>0</v>
      </c>
      <c r="AP17" s="16">
        <v>0</v>
      </c>
      <c r="AQ17" s="16">
        <v>49944</v>
      </c>
      <c r="AR17" s="16">
        <v>1513.454545454545</v>
      </c>
      <c r="AS17" s="16">
        <v>69</v>
      </c>
      <c r="AT17" s="16">
        <v>5786</v>
      </c>
      <c r="AU17" s="16">
        <v>4850</v>
      </c>
      <c r="AV17" s="16">
        <v>899</v>
      </c>
      <c r="AW17" s="16">
        <v>37</v>
      </c>
      <c r="AX17" s="16">
        <v>5752</v>
      </c>
      <c r="AY17" s="16">
        <v>36</v>
      </c>
      <c r="AZ17" s="16">
        <v>297094</v>
      </c>
      <c r="BA17" s="16">
        <v>51.975857242827153</v>
      </c>
    </row>
    <row r="18" spans="1:53" x14ac:dyDescent="0.35">
      <c r="A18" s="26" t="s">
        <v>162</v>
      </c>
      <c r="B18" s="16" t="s">
        <v>163</v>
      </c>
      <c r="C18" s="16" t="s">
        <v>245</v>
      </c>
      <c r="D18" s="16" t="s">
        <v>92</v>
      </c>
      <c r="E18" s="16" t="s">
        <v>239</v>
      </c>
      <c r="F18" s="16">
        <v>8</v>
      </c>
      <c r="G18" s="16">
        <v>292728754.38999993</v>
      </c>
      <c r="H18" s="16">
        <v>3197</v>
      </c>
      <c r="I18" s="16">
        <v>54294844.030000024</v>
      </c>
      <c r="J18" s="16">
        <v>0.18547834203422151</v>
      </c>
      <c r="K18" s="16">
        <v>36591094.298749983</v>
      </c>
      <c r="L18" s="16">
        <v>399.625</v>
      </c>
      <c r="M18" s="16">
        <v>91563.576599937398</v>
      </c>
      <c r="N18" s="16">
        <v>2238</v>
      </c>
      <c r="O18" s="16">
        <v>8</v>
      </c>
      <c r="P18" s="16">
        <v>292728754.38999993</v>
      </c>
      <c r="Q18" s="16">
        <v>54294844.030000024</v>
      </c>
      <c r="R18" s="16">
        <v>0.18547834203422151</v>
      </c>
      <c r="S18" s="16">
        <v>3197</v>
      </c>
      <c r="T18" s="16">
        <v>2238</v>
      </c>
      <c r="U18" s="16">
        <v>8</v>
      </c>
      <c r="V18" s="16">
        <v>46596555.219999991</v>
      </c>
      <c r="W18" s="16">
        <v>815</v>
      </c>
      <c r="X18" s="16">
        <v>0.15917997299957701</v>
      </c>
      <c r="Y18" s="16">
        <v>0.84082002700042302</v>
      </c>
      <c r="Z18" s="16">
        <v>5277359.43</v>
      </c>
      <c r="AA18" s="16">
        <v>0.11325642861545419</v>
      </c>
      <c r="AB18" s="16">
        <v>698</v>
      </c>
      <c r="AC18" s="16">
        <v>3237</v>
      </c>
      <c r="AD18" s="16">
        <v>2795</v>
      </c>
      <c r="AE18" s="16">
        <v>430</v>
      </c>
      <c r="AF18" s="16">
        <v>12</v>
      </c>
      <c r="AG18" s="16">
        <v>3182</v>
      </c>
      <c r="AH18" s="16">
        <v>2742</v>
      </c>
      <c r="AI18" s="16">
        <v>430</v>
      </c>
      <c r="AJ18" s="16">
        <v>10</v>
      </c>
      <c r="AK18" s="16">
        <v>155386</v>
      </c>
      <c r="AL18" s="16">
        <v>48.986759142496851</v>
      </c>
      <c r="AM18" s="16">
        <v>55</v>
      </c>
      <c r="AN18" s="16">
        <v>53</v>
      </c>
      <c r="AO18" s="16">
        <v>0</v>
      </c>
      <c r="AP18" s="16">
        <v>2</v>
      </c>
      <c r="AQ18" s="16">
        <v>94013</v>
      </c>
      <c r="AR18" s="16">
        <v>1773.8301886792451</v>
      </c>
      <c r="AS18" s="16">
        <v>12</v>
      </c>
      <c r="AT18" s="16">
        <v>3225</v>
      </c>
      <c r="AU18" s="16">
        <v>2792</v>
      </c>
      <c r="AV18" s="16">
        <v>421</v>
      </c>
      <c r="AW18" s="16">
        <v>12</v>
      </c>
      <c r="AX18" s="16">
        <v>3170</v>
      </c>
      <c r="AY18" s="16">
        <v>10</v>
      </c>
      <c r="AZ18" s="16">
        <v>154505</v>
      </c>
      <c r="BA18" s="16">
        <v>48.893987341772153</v>
      </c>
    </row>
    <row r="19" spans="1:53" x14ac:dyDescent="0.35">
      <c r="A19" s="26" t="s">
        <v>289</v>
      </c>
      <c r="B19" s="16" t="s">
        <v>290</v>
      </c>
      <c r="C19" s="16" t="s">
        <v>245</v>
      </c>
      <c r="D19" s="16" t="s">
        <v>92</v>
      </c>
      <c r="E19" s="16" t="s">
        <v>239</v>
      </c>
      <c r="F19" s="16">
        <v>7</v>
      </c>
      <c r="G19" s="16">
        <v>233139175.86999941</v>
      </c>
      <c r="H19" s="16">
        <v>2962</v>
      </c>
      <c r="I19" s="16">
        <v>43248635.639999963</v>
      </c>
      <c r="J19" s="16">
        <v>0.18550565548930231</v>
      </c>
      <c r="K19" s="16">
        <v>33305596.55285706</v>
      </c>
      <c r="L19" s="16">
        <v>423.14285714285722</v>
      </c>
      <c r="M19" s="16">
        <v>78710.052623227355</v>
      </c>
      <c r="N19" s="16">
        <v>2314</v>
      </c>
      <c r="O19" s="16">
        <v>7</v>
      </c>
      <c r="P19" s="16">
        <v>233139175.86999941</v>
      </c>
      <c r="Q19" s="16">
        <v>43248635.639999963</v>
      </c>
      <c r="R19" s="16">
        <v>0.18550565548930231</v>
      </c>
      <c r="S19" s="16">
        <v>2962</v>
      </c>
      <c r="T19" s="16">
        <v>2314</v>
      </c>
      <c r="U19" s="16">
        <v>7</v>
      </c>
      <c r="V19" s="16">
        <v>25908124.350000001</v>
      </c>
      <c r="W19" s="16">
        <v>562</v>
      </c>
      <c r="X19" s="16">
        <v>0.1111272880386547</v>
      </c>
      <c r="Y19" s="16">
        <v>0.88887271196134532</v>
      </c>
      <c r="Z19" s="16">
        <v>3069213.84</v>
      </c>
      <c r="AA19" s="16">
        <v>0.11846530449434101</v>
      </c>
      <c r="AB19" s="16">
        <v>521</v>
      </c>
      <c r="AC19" s="16">
        <v>2997</v>
      </c>
      <c r="AD19" s="16">
        <v>1267</v>
      </c>
      <c r="AE19" s="16">
        <v>1695</v>
      </c>
      <c r="AF19" s="16">
        <v>35</v>
      </c>
      <c r="AG19" s="16">
        <v>2961</v>
      </c>
      <c r="AH19" s="16">
        <v>1244</v>
      </c>
      <c r="AI19" s="16">
        <v>1695</v>
      </c>
      <c r="AJ19" s="16">
        <v>22</v>
      </c>
      <c r="AK19" s="16">
        <v>256112</v>
      </c>
      <c r="AL19" s="16">
        <v>87.142565498468869</v>
      </c>
      <c r="AM19" s="16">
        <v>23</v>
      </c>
      <c r="AN19" s="16">
        <v>23</v>
      </c>
      <c r="AO19" s="16">
        <v>0</v>
      </c>
      <c r="AP19" s="16">
        <v>0</v>
      </c>
      <c r="AQ19" s="16">
        <v>51506</v>
      </c>
      <c r="AR19" s="16">
        <v>2239.391304347826</v>
      </c>
      <c r="AS19" s="16">
        <v>9</v>
      </c>
      <c r="AT19" s="16">
        <v>2988</v>
      </c>
      <c r="AU19" s="16">
        <v>1266</v>
      </c>
      <c r="AV19" s="16">
        <v>1688</v>
      </c>
      <c r="AW19" s="16">
        <v>34</v>
      </c>
      <c r="AX19" s="16">
        <v>2952</v>
      </c>
      <c r="AY19" s="16">
        <v>21</v>
      </c>
      <c r="AZ19" s="16">
        <v>255287</v>
      </c>
      <c r="BA19" s="16">
        <v>87.098942340498127</v>
      </c>
    </row>
    <row r="20" spans="1:53" x14ac:dyDescent="0.35">
      <c r="A20" s="26" t="s">
        <v>46</v>
      </c>
      <c r="B20" s="16" t="s">
        <v>47</v>
      </c>
      <c r="C20" s="16" t="s">
        <v>241</v>
      </c>
      <c r="D20" s="16" t="s">
        <v>45</v>
      </c>
      <c r="E20" s="16" t="s">
        <v>239</v>
      </c>
      <c r="F20" s="16">
        <v>8</v>
      </c>
      <c r="G20" s="16">
        <v>465315023.23999971</v>
      </c>
      <c r="H20" s="16">
        <v>4428</v>
      </c>
      <c r="I20" s="16">
        <v>79361037.659999952</v>
      </c>
      <c r="J20" s="16">
        <v>0.17055335352683679</v>
      </c>
      <c r="K20" s="16">
        <v>58164377.904999956</v>
      </c>
      <c r="L20" s="16">
        <v>553.5</v>
      </c>
      <c r="M20" s="16">
        <v>105084.6935953026</v>
      </c>
      <c r="N20" s="16">
        <v>3170</v>
      </c>
      <c r="O20" s="16">
        <v>8</v>
      </c>
      <c r="P20" s="16">
        <v>465315023.23999971</v>
      </c>
      <c r="Q20" s="16">
        <v>79361037.659999952</v>
      </c>
      <c r="R20" s="16">
        <v>0.17055335352683679</v>
      </c>
      <c r="S20" s="16">
        <v>4428</v>
      </c>
      <c r="T20" s="16">
        <v>3170</v>
      </c>
      <c r="U20" s="16">
        <v>8</v>
      </c>
      <c r="V20" s="16">
        <v>98271661.519999981</v>
      </c>
      <c r="W20" s="16">
        <v>1557</v>
      </c>
      <c r="X20" s="16">
        <v>0.21119382915198401</v>
      </c>
      <c r="Y20" s="16">
        <v>0.78880617084801596</v>
      </c>
      <c r="Z20" s="16">
        <v>11247986.08</v>
      </c>
      <c r="AA20" s="16">
        <v>0.1144580839076466</v>
      </c>
      <c r="AB20" s="16">
        <v>1318</v>
      </c>
      <c r="AC20" s="16">
        <v>4499</v>
      </c>
      <c r="AD20" s="16">
        <v>3225</v>
      </c>
      <c r="AE20" s="16">
        <v>1248</v>
      </c>
      <c r="AF20" s="16">
        <v>26</v>
      </c>
      <c r="AG20" s="16">
        <v>4417</v>
      </c>
      <c r="AH20" s="16">
        <v>3146</v>
      </c>
      <c r="AI20" s="16">
        <v>1248</v>
      </c>
      <c r="AJ20" s="16">
        <v>23</v>
      </c>
      <c r="AK20" s="16">
        <v>257233</v>
      </c>
      <c r="AL20" s="16">
        <v>58.541875284478827</v>
      </c>
      <c r="AM20" s="16">
        <v>81</v>
      </c>
      <c r="AN20" s="16">
        <v>79</v>
      </c>
      <c r="AO20" s="16">
        <v>0</v>
      </c>
      <c r="AP20" s="16">
        <v>2</v>
      </c>
      <c r="AQ20" s="16">
        <v>170569</v>
      </c>
      <c r="AR20" s="16">
        <v>2159.1012658227851</v>
      </c>
      <c r="AS20" s="16">
        <v>19</v>
      </c>
      <c r="AT20" s="16">
        <v>4480</v>
      </c>
      <c r="AU20" s="16">
        <v>3220</v>
      </c>
      <c r="AV20" s="16">
        <v>1238</v>
      </c>
      <c r="AW20" s="16">
        <v>22</v>
      </c>
      <c r="AX20" s="16">
        <v>4399</v>
      </c>
      <c r="AY20" s="16">
        <v>19</v>
      </c>
      <c r="AZ20" s="16">
        <v>255683</v>
      </c>
      <c r="BA20" s="16">
        <v>58.37511415525114</v>
      </c>
    </row>
    <row r="21" spans="1:53" x14ac:dyDescent="0.35">
      <c r="A21" s="26" t="s">
        <v>107</v>
      </c>
      <c r="B21" s="16" t="s">
        <v>108</v>
      </c>
      <c r="C21" s="16" t="s">
        <v>241</v>
      </c>
      <c r="D21" s="16" t="s">
        <v>45</v>
      </c>
      <c r="E21" s="16" t="s">
        <v>239</v>
      </c>
      <c r="F21" s="16">
        <v>8</v>
      </c>
      <c r="G21" s="16">
        <v>439064173.41000003</v>
      </c>
      <c r="H21" s="16">
        <v>3815</v>
      </c>
      <c r="I21" s="16">
        <v>72003471.160000011</v>
      </c>
      <c r="J21" s="16">
        <v>0.16399304593855549</v>
      </c>
      <c r="K21" s="16">
        <v>54883021.676250003</v>
      </c>
      <c r="L21" s="16">
        <v>476.875</v>
      </c>
      <c r="M21" s="16">
        <v>115088.9052188729</v>
      </c>
      <c r="N21" s="16">
        <v>2830</v>
      </c>
      <c r="O21" s="16">
        <v>8</v>
      </c>
      <c r="P21" s="16">
        <v>439064173.41000003</v>
      </c>
      <c r="Q21" s="16">
        <v>72003471.160000011</v>
      </c>
      <c r="R21" s="16">
        <v>0.16399304593855549</v>
      </c>
      <c r="S21" s="16">
        <v>3815</v>
      </c>
      <c r="T21" s="16">
        <v>2830</v>
      </c>
      <c r="U21" s="16">
        <v>8</v>
      </c>
      <c r="V21" s="16">
        <v>105782533.97</v>
      </c>
      <c r="W21" s="16">
        <v>1468</v>
      </c>
      <c r="X21" s="16">
        <v>0.24092727299619551</v>
      </c>
      <c r="Y21" s="16">
        <v>0.75907272700380446</v>
      </c>
      <c r="Z21" s="16">
        <v>12094731.9</v>
      </c>
      <c r="AA21" s="16">
        <v>0.1143358118404507</v>
      </c>
      <c r="AB21" s="16">
        <v>1250</v>
      </c>
      <c r="AC21" s="16">
        <v>3878</v>
      </c>
      <c r="AD21" s="16">
        <v>3154</v>
      </c>
      <c r="AE21" s="16">
        <v>706</v>
      </c>
      <c r="AF21" s="16">
        <v>18</v>
      </c>
      <c r="AG21" s="16">
        <v>3756</v>
      </c>
      <c r="AH21" s="16">
        <v>3037</v>
      </c>
      <c r="AI21" s="16">
        <v>705</v>
      </c>
      <c r="AJ21" s="16">
        <v>14</v>
      </c>
      <c r="AK21" s="16">
        <v>192740</v>
      </c>
      <c r="AL21" s="16">
        <v>51.507215392838063</v>
      </c>
      <c r="AM21" s="16">
        <v>121</v>
      </c>
      <c r="AN21" s="16">
        <v>117</v>
      </c>
      <c r="AO21" s="16">
        <v>1</v>
      </c>
      <c r="AP21" s="16">
        <v>3</v>
      </c>
      <c r="AQ21" s="16">
        <v>277764</v>
      </c>
      <c r="AR21" s="16">
        <v>2353.9322033898311</v>
      </c>
      <c r="AS21" s="16">
        <v>16</v>
      </c>
      <c r="AT21" s="16">
        <v>3862</v>
      </c>
      <c r="AU21" s="16">
        <v>3150</v>
      </c>
      <c r="AV21" s="16">
        <v>695</v>
      </c>
      <c r="AW21" s="16">
        <v>17</v>
      </c>
      <c r="AX21" s="16">
        <v>3740</v>
      </c>
      <c r="AY21" s="16">
        <v>13</v>
      </c>
      <c r="AZ21" s="16">
        <v>191162</v>
      </c>
      <c r="BA21" s="16">
        <v>51.291118862355781</v>
      </c>
    </row>
    <row r="22" spans="1:53" x14ac:dyDescent="0.35">
      <c r="A22" s="26" t="s">
        <v>55</v>
      </c>
      <c r="B22" s="16" t="s">
        <v>56</v>
      </c>
      <c r="C22" s="16" t="s">
        <v>241</v>
      </c>
      <c r="D22" s="16" t="s">
        <v>45</v>
      </c>
      <c r="E22" s="16" t="s">
        <v>239</v>
      </c>
      <c r="F22" s="16">
        <v>8</v>
      </c>
      <c r="G22" s="16">
        <v>535469276.23999852</v>
      </c>
      <c r="H22" s="16">
        <v>4382</v>
      </c>
      <c r="I22" s="16">
        <v>86108418.990000039</v>
      </c>
      <c r="J22" s="16">
        <v>0.16080926172766269</v>
      </c>
      <c r="K22" s="16">
        <v>66933659.529999807</v>
      </c>
      <c r="L22" s="16">
        <v>547.75</v>
      </c>
      <c r="M22" s="16">
        <v>122197.4614879047</v>
      </c>
      <c r="N22" s="16">
        <v>3232</v>
      </c>
      <c r="O22" s="16">
        <v>8</v>
      </c>
      <c r="P22" s="16">
        <v>535469276.23999852</v>
      </c>
      <c r="Q22" s="16">
        <v>86108418.990000039</v>
      </c>
      <c r="R22" s="16">
        <v>0.16080926172766269</v>
      </c>
      <c r="S22" s="16">
        <v>4382</v>
      </c>
      <c r="T22" s="16">
        <v>3232</v>
      </c>
      <c r="U22" s="16">
        <v>8</v>
      </c>
      <c r="V22" s="16">
        <v>136352258.06999999</v>
      </c>
      <c r="W22" s="16">
        <v>1670</v>
      </c>
      <c r="X22" s="16">
        <v>0.25464067523621392</v>
      </c>
      <c r="Y22" s="16">
        <v>0.74535932476378619</v>
      </c>
      <c r="Z22" s="16">
        <v>15311666.23</v>
      </c>
      <c r="AA22" s="16">
        <v>0.1122949223337347</v>
      </c>
      <c r="AB22" s="16">
        <v>1409</v>
      </c>
      <c r="AC22" s="16">
        <v>4484</v>
      </c>
      <c r="AD22" s="16">
        <v>2910</v>
      </c>
      <c r="AE22" s="16">
        <v>1544</v>
      </c>
      <c r="AF22" s="16">
        <v>30</v>
      </c>
      <c r="AG22" s="16">
        <v>4292</v>
      </c>
      <c r="AH22" s="16">
        <v>2731</v>
      </c>
      <c r="AI22" s="16">
        <v>1538</v>
      </c>
      <c r="AJ22" s="16">
        <v>23</v>
      </c>
      <c r="AK22" s="16">
        <v>299925</v>
      </c>
      <c r="AL22" s="16">
        <v>70.256500351370349</v>
      </c>
      <c r="AM22" s="16">
        <v>191</v>
      </c>
      <c r="AN22" s="16">
        <v>179</v>
      </c>
      <c r="AO22" s="16">
        <v>6</v>
      </c>
      <c r="AP22" s="16">
        <v>6</v>
      </c>
      <c r="AQ22" s="16">
        <v>610257</v>
      </c>
      <c r="AR22" s="16">
        <v>3298.686486486487</v>
      </c>
      <c r="AS22" s="16">
        <v>110</v>
      </c>
      <c r="AT22" s="16">
        <v>4374</v>
      </c>
      <c r="AU22" s="16">
        <v>2868</v>
      </c>
      <c r="AV22" s="16">
        <v>1476</v>
      </c>
      <c r="AW22" s="16">
        <v>30</v>
      </c>
      <c r="AX22" s="16">
        <v>4183</v>
      </c>
      <c r="AY22" s="16">
        <v>23</v>
      </c>
      <c r="AZ22" s="16">
        <v>290717</v>
      </c>
      <c r="BA22" s="16">
        <v>69.883894230769229</v>
      </c>
    </row>
    <row r="23" spans="1:53" x14ac:dyDescent="0.35">
      <c r="A23" s="26" t="s">
        <v>81</v>
      </c>
      <c r="B23" s="16" t="s">
        <v>82</v>
      </c>
      <c r="C23" s="16" t="s">
        <v>241</v>
      </c>
      <c r="D23" s="16" t="s">
        <v>45</v>
      </c>
      <c r="E23" s="16" t="s">
        <v>239</v>
      </c>
      <c r="F23" s="16">
        <v>8</v>
      </c>
      <c r="G23" s="16">
        <v>375197668.28999972</v>
      </c>
      <c r="H23" s="16">
        <v>3479</v>
      </c>
      <c r="I23" s="16">
        <v>63258547.439999983</v>
      </c>
      <c r="J23" s="16">
        <v>0.16860058786694229</v>
      </c>
      <c r="K23" s="16">
        <v>46899708.536249973</v>
      </c>
      <c r="L23" s="16">
        <v>434.875</v>
      </c>
      <c r="M23" s="16">
        <v>107846.4122707674</v>
      </c>
      <c r="N23" s="16">
        <v>2533</v>
      </c>
      <c r="O23" s="16">
        <v>8</v>
      </c>
      <c r="P23" s="16">
        <v>375197668.28999972</v>
      </c>
      <c r="Q23" s="16">
        <v>63258547.439999983</v>
      </c>
      <c r="R23" s="16">
        <v>0.16860058786694229</v>
      </c>
      <c r="S23" s="16">
        <v>3479</v>
      </c>
      <c r="T23" s="16">
        <v>2533</v>
      </c>
      <c r="U23" s="16">
        <v>8</v>
      </c>
      <c r="V23" s="16">
        <v>78705208.290000007</v>
      </c>
      <c r="W23" s="16">
        <v>1224</v>
      </c>
      <c r="X23" s="16">
        <v>0.20976998244340569</v>
      </c>
      <c r="Y23" s="16">
        <v>0.79023001755659428</v>
      </c>
      <c r="Z23" s="16">
        <v>8839454.8699999992</v>
      </c>
      <c r="AA23" s="16">
        <v>0.1123109265835347</v>
      </c>
      <c r="AB23" s="16">
        <v>1059</v>
      </c>
      <c r="AC23" s="16">
        <v>3540</v>
      </c>
      <c r="AD23" s="16">
        <v>2589</v>
      </c>
      <c r="AE23" s="16">
        <v>925</v>
      </c>
      <c r="AF23" s="16">
        <v>26</v>
      </c>
      <c r="AG23" s="16">
        <v>3478</v>
      </c>
      <c r="AH23" s="16">
        <v>2535</v>
      </c>
      <c r="AI23" s="16">
        <v>921</v>
      </c>
      <c r="AJ23" s="16">
        <v>22</v>
      </c>
      <c r="AK23" s="16">
        <v>193782</v>
      </c>
      <c r="AL23" s="16">
        <v>56.071180555555557</v>
      </c>
      <c r="AM23" s="16">
        <v>61</v>
      </c>
      <c r="AN23" s="16">
        <v>54</v>
      </c>
      <c r="AO23" s="16">
        <v>4</v>
      </c>
      <c r="AP23" s="16">
        <v>3</v>
      </c>
      <c r="AQ23" s="16">
        <v>163724</v>
      </c>
      <c r="AR23" s="16">
        <v>2822.8275862068972</v>
      </c>
      <c r="AS23" s="16">
        <v>19</v>
      </c>
      <c r="AT23" s="16">
        <v>3521</v>
      </c>
      <c r="AU23" s="16">
        <v>2584</v>
      </c>
      <c r="AV23" s="16">
        <v>912</v>
      </c>
      <c r="AW23" s="16">
        <v>25</v>
      </c>
      <c r="AX23" s="16">
        <v>3460</v>
      </c>
      <c r="AY23" s="16">
        <v>21</v>
      </c>
      <c r="AZ23" s="16">
        <v>191957</v>
      </c>
      <c r="BA23" s="16">
        <v>55.817679558011051</v>
      </c>
    </row>
    <row r="24" spans="1:53" x14ac:dyDescent="0.35">
      <c r="A24" s="26" t="s">
        <v>138</v>
      </c>
      <c r="B24" s="16" t="s">
        <v>139</v>
      </c>
      <c r="C24" s="16" t="s">
        <v>241</v>
      </c>
      <c r="D24" s="16" t="s">
        <v>45</v>
      </c>
      <c r="E24" s="16" t="s">
        <v>239</v>
      </c>
      <c r="F24" s="16">
        <v>8</v>
      </c>
      <c r="G24" s="16">
        <v>334597380.74000001</v>
      </c>
      <c r="H24" s="16">
        <v>3086</v>
      </c>
      <c r="I24" s="16">
        <v>58080593.399999984</v>
      </c>
      <c r="J24" s="16">
        <v>0.17358352677940331</v>
      </c>
      <c r="K24" s="16">
        <v>41824672.592500001</v>
      </c>
      <c r="L24" s="16">
        <v>385.75</v>
      </c>
      <c r="M24" s="16">
        <v>108424.2970641607</v>
      </c>
      <c r="N24" s="16">
        <v>2155</v>
      </c>
      <c r="O24" s="16">
        <v>8</v>
      </c>
      <c r="P24" s="16">
        <v>334597380.74000001</v>
      </c>
      <c r="Q24" s="16">
        <v>58080593.399999984</v>
      </c>
      <c r="R24" s="16">
        <v>0.17358352677940331</v>
      </c>
      <c r="S24" s="16">
        <v>3086</v>
      </c>
      <c r="T24" s="16">
        <v>2155</v>
      </c>
      <c r="U24" s="16">
        <v>8</v>
      </c>
      <c r="V24" s="16">
        <v>61661100.030000024</v>
      </c>
      <c r="W24" s="16">
        <v>968</v>
      </c>
      <c r="X24" s="16">
        <v>0.18428446718151081</v>
      </c>
      <c r="Y24" s="16">
        <v>0.81571553281848919</v>
      </c>
      <c r="Z24" s="16">
        <v>7098238.9099999992</v>
      </c>
      <c r="AA24" s="16">
        <v>0.1151169685027755</v>
      </c>
      <c r="AB24" s="16">
        <v>827</v>
      </c>
      <c r="AC24" s="16">
        <v>3148</v>
      </c>
      <c r="AD24" s="16">
        <v>2621</v>
      </c>
      <c r="AE24" s="16">
        <v>500</v>
      </c>
      <c r="AF24" s="16">
        <v>27</v>
      </c>
      <c r="AG24" s="16">
        <v>3075</v>
      </c>
      <c r="AH24" s="16">
        <v>2551</v>
      </c>
      <c r="AI24" s="16">
        <v>500</v>
      </c>
      <c r="AJ24" s="16">
        <v>24</v>
      </c>
      <c r="AK24" s="16">
        <v>144848</v>
      </c>
      <c r="AL24" s="16">
        <v>47.475581776466733</v>
      </c>
      <c r="AM24" s="16">
        <v>71</v>
      </c>
      <c r="AN24" s="16">
        <v>70</v>
      </c>
      <c r="AO24" s="16">
        <v>0</v>
      </c>
      <c r="AP24" s="16">
        <v>1</v>
      </c>
      <c r="AQ24" s="16">
        <v>150528</v>
      </c>
      <c r="AR24" s="16">
        <v>2150.4</v>
      </c>
      <c r="AS24" s="16">
        <v>14</v>
      </c>
      <c r="AT24" s="16">
        <v>3134</v>
      </c>
      <c r="AU24" s="16">
        <v>2614</v>
      </c>
      <c r="AV24" s="16">
        <v>493</v>
      </c>
      <c r="AW24" s="16">
        <v>27</v>
      </c>
      <c r="AX24" s="16">
        <v>3061</v>
      </c>
      <c r="AY24" s="16">
        <v>24</v>
      </c>
      <c r="AZ24" s="16">
        <v>143913</v>
      </c>
      <c r="BA24" s="16">
        <v>47.386565689825488</v>
      </c>
    </row>
    <row r="25" spans="1:53" x14ac:dyDescent="0.35">
      <c r="A25" s="26" t="s">
        <v>125</v>
      </c>
      <c r="B25" s="16" t="s">
        <v>126</v>
      </c>
      <c r="C25" s="16" t="s">
        <v>246</v>
      </c>
      <c r="D25" s="16" t="s">
        <v>127</v>
      </c>
      <c r="E25" s="16" t="s">
        <v>239</v>
      </c>
      <c r="F25" s="16">
        <v>8</v>
      </c>
      <c r="G25" s="16">
        <v>410301687.08999979</v>
      </c>
      <c r="H25" s="16">
        <v>4280</v>
      </c>
      <c r="I25" s="16">
        <v>69242419.330000013</v>
      </c>
      <c r="J25" s="16">
        <v>0.168759772403304</v>
      </c>
      <c r="K25" s="16">
        <v>51287710.886249967</v>
      </c>
      <c r="L25" s="16">
        <v>535</v>
      </c>
      <c r="M25" s="16">
        <v>95864.880161214911</v>
      </c>
      <c r="N25" s="16">
        <v>3237</v>
      </c>
      <c r="O25" s="16">
        <v>8</v>
      </c>
      <c r="P25" s="16">
        <v>410301687.08999979</v>
      </c>
      <c r="Q25" s="16">
        <v>69242419.330000013</v>
      </c>
      <c r="R25" s="16">
        <v>0.168759772403304</v>
      </c>
      <c r="S25" s="16">
        <v>4280</v>
      </c>
      <c r="T25" s="16">
        <v>3237</v>
      </c>
      <c r="U25" s="16">
        <v>8</v>
      </c>
      <c r="V25" s="16">
        <v>81174214.500000015</v>
      </c>
      <c r="W25" s="16">
        <v>1273</v>
      </c>
      <c r="X25" s="16">
        <v>0.19784031373527941</v>
      </c>
      <c r="Y25" s="16">
        <v>0.80215968626472056</v>
      </c>
      <c r="Z25" s="16">
        <v>9107630.3000000007</v>
      </c>
      <c r="AA25" s="16">
        <v>0.1121985639910319</v>
      </c>
      <c r="AB25" s="16">
        <v>1111</v>
      </c>
      <c r="AC25" s="16">
        <v>4356</v>
      </c>
      <c r="AD25" s="16">
        <v>2509</v>
      </c>
      <c r="AE25" s="16">
        <v>1792</v>
      </c>
      <c r="AF25" s="16">
        <v>55</v>
      </c>
      <c r="AG25" s="16">
        <v>4296</v>
      </c>
      <c r="AH25" s="16">
        <v>2457</v>
      </c>
      <c r="AI25" s="16">
        <v>1792</v>
      </c>
      <c r="AJ25" s="16">
        <v>47</v>
      </c>
      <c r="AK25" s="16">
        <v>320521</v>
      </c>
      <c r="AL25" s="16">
        <v>75.434455165921392</v>
      </c>
      <c r="AM25" s="16">
        <v>54</v>
      </c>
      <c r="AN25" s="16">
        <v>52</v>
      </c>
      <c r="AO25" s="16">
        <v>0</v>
      </c>
      <c r="AP25" s="16">
        <v>2</v>
      </c>
      <c r="AQ25" s="16">
        <v>122243</v>
      </c>
      <c r="AR25" s="16">
        <v>2350.8269230769229</v>
      </c>
      <c r="AS25" s="16">
        <v>31</v>
      </c>
      <c r="AT25" s="16">
        <v>4325</v>
      </c>
      <c r="AU25" s="16">
        <v>2500</v>
      </c>
      <c r="AV25" s="16">
        <v>1776</v>
      </c>
      <c r="AW25" s="16">
        <v>49</v>
      </c>
      <c r="AX25" s="16">
        <v>4267</v>
      </c>
      <c r="AY25" s="16">
        <v>42</v>
      </c>
      <c r="AZ25" s="16">
        <v>317497</v>
      </c>
      <c r="BA25" s="16">
        <v>75.147218934911237</v>
      </c>
    </row>
    <row r="26" spans="1:53" x14ac:dyDescent="0.35">
      <c r="A26" s="26" t="s">
        <v>132</v>
      </c>
      <c r="B26" s="16" t="s">
        <v>133</v>
      </c>
      <c r="C26" s="16" t="s">
        <v>246</v>
      </c>
      <c r="D26" s="16" t="s">
        <v>127</v>
      </c>
      <c r="E26" s="16" t="s">
        <v>239</v>
      </c>
      <c r="F26" s="16">
        <v>8</v>
      </c>
      <c r="G26" s="16">
        <v>345947873.21999967</v>
      </c>
      <c r="H26" s="16">
        <v>4086</v>
      </c>
      <c r="I26" s="16">
        <v>60189656.349999949</v>
      </c>
      <c r="J26" s="16">
        <v>0.173984756113021</v>
      </c>
      <c r="K26" s="16">
        <v>43243484.152499959</v>
      </c>
      <c r="L26" s="16">
        <v>510.75</v>
      </c>
      <c r="M26" s="16">
        <v>84666.635638766442</v>
      </c>
      <c r="N26" s="16">
        <v>3317</v>
      </c>
      <c r="O26" s="16">
        <v>8</v>
      </c>
      <c r="P26" s="16">
        <v>345947873.21999967</v>
      </c>
      <c r="Q26" s="16">
        <v>60189656.349999949</v>
      </c>
      <c r="R26" s="16">
        <v>0.173984756113021</v>
      </c>
      <c r="S26" s="16">
        <v>4086</v>
      </c>
      <c r="T26" s="16">
        <v>3317</v>
      </c>
      <c r="U26" s="16">
        <v>8</v>
      </c>
      <c r="V26" s="16">
        <v>56077243.439999998</v>
      </c>
      <c r="W26" s="16">
        <v>930</v>
      </c>
      <c r="X26" s="16">
        <v>0.16209737876994729</v>
      </c>
      <c r="Y26" s="16">
        <v>0.83790262123005266</v>
      </c>
      <c r="Z26" s="16">
        <v>6419121.6399999997</v>
      </c>
      <c r="AA26" s="16">
        <v>0.1144692792695518</v>
      </c>
      <c r="AB26" s="16">
        <v>849</v>
      </c>
      <c r="AC26" s="16">
        <v>4200</v>
      </c>
      <c r="AD26" s="16">
        <v>3165</v>
      </c>
      <c r="AE26" s="16">
        <v>941</v>
      </c>
      <c r="AF26" s="16">
        <v>94</v>
      </c>
      <c r="AG26" s="16">
        <v>4082</v>
      </c>
      <c r="AH26" s="16">
        <v>3094</v>
      </c>
      <c r="AI26" s="16">
        <v>933</v>
      </c>
      <c r="AJ26" s="16">
        <v>55</v>
      </c>
      <c r="AK26" s="16">
        <v>292110</v>
      </c>
      <c r="AL26" s="16">
        <v>72.537869381673701</v>
      </c>
      <c r="AM26" s="16">
        <v>95</v>
      </c>
      <c r="AN26" s="16">
        <v>71</v>
      </c>
      <c r="AO26" s="16">
        <v>8</v>
      </c>
      <c r="AP26" s="16">
        <v>16</v>
      </c>
      <c r="AQ26" s="16">
        <v>293863</v>
      </c>
      <c r="AR26" s="16">
        <v>3719.7848101265822</v>
      </c>
      <c r="AS26" s="16">
        <v>8</v>
      </c>
      <c r="AT26" s="16">
        <v>4192</v>
      </c>
      <c r="AU26" s="16">
        <v>3164</v>
      </c>
      <c r="AV26" s="16">
        <v>937</v>
      </c>
      <c r="AW26" s="16">
        <v>91</v>
      </c>
      <c r="AX26" s="16">
        <v>4074</v>
      </c>
      <c r="AY26" s="16">
        <v>52</v>
      </c>
      <c r="AZ26" s="16">
        <v>291525</v>
      </c>
      <c r="BA26" s="16">
        <v>72.482595723520632</v>
      </c>
    </row>
    <row r="27" spans="1:53" x14ac:dyDescent="0.35">
      <c r="A27" s="26" t="s">
        <v>71</v>
      </c>
      <c r="B27" s="16" t="s">
        <v>72</v>
      </c>
      <c r="C27" s="16" t="s">
        <v>241</v>
      </c>
      <c r="D27" s="16" t="s">
        <v>45</v>
      </c>
      <c r="E27" s="16" t="s">
        <v>239</v>
      </c>
      <c r="F27" s="16">
        <v>8</v>
      </c>
      <c r="G27" s="16">
        <v>335749149.17999989</v>
      </c>
      <c r="H27" s="16">
        <v>3410</v>
      </c>
      <c r="I27" s="16">
        <v>61903354.809999958</v>
      </c>
      <c r="J27" s="16">
        <v>0.18437382480696229</v>
      </c>
      <c r="K27" s="16">
        <v>41968643.647499993</v>
      </c>
      <c r="L27" s="16">
        <v>426.25</v>
      </c>
      <c r="M27" s="16">
        <v>98460.161049853356</v>
      </c>
      <c r="N27" s="16">
        <v>2418</v>
      </c>
      <c r="O27" s="16">
        <v>8</v>
      </c>
      <c r="P27" s="16">
        <v>335749149.17999989</v>
      </c>
      <c r="Q27" s="16">
        <v>61903354.809999958</v>
      </c>
      <c r="R27" s="16">
        <v>0.18437382480696229</v>
      </c>
      <c r="S27" s="16">
        <v>3410</v>
      </c>
      <c r="T27" s="16">
        <v>2418</v>
      </c>
      <c r="U27" s="16">
        <v>8</v>
      </c>
      <c r="V27" s="16">
        <v>74361622.450000018</v>
      </c>
      <c r="W27" s="16">
        <v>1184</v>
      </c>
      <c r="X27" s="16">
        <v>0.22147970480822779</v>
      </c>
      <c r="Y27" s="16">
        <v>0.77852029519177224</v>
      </c>
      <c r="Z27" s="16">
        <v>9140633.5299999993</v>
      </c>
      <c r="AA27" s="16">
        <v>0.1229213837574088</v>
      </c>
      <c r="AB27" s="16">
        <v>999</v>
      </c>
      <c r="AC27" s="16">
        <v>3458</v>
      </c>
      <c r="AD27" s="16">
        <v>3354</v>
      </c>
      <c r="AE27" s="16">
        <v>95</v>
      </c>
      <c r="AF27" s="16">
        <v>9</v>
      </c>
      <c r="AG27" s="16">
        <v>3379</v>
      </c>
      <c r="AH27" s="16">
        <v>3280</v>
      </c>
      <c r="AI27" s="16">
        <v>92</v>
      </c>
      <c r="AJ27" s="16">
        <v>7</v>
      </c>
      <c r="AK27" s="16">
        <v>140800</v>
      </c>
      <c r="AL27" s="16">
        <v>41.755634638196923</v>
      </c>
      <c r="AM27" s="16">
        <v>79</v>
      </c>
      <c r="AN27" s="16">
        <v>74</v>
      </c>
      <c r="AO27" s="16">
        <v>3</v>
      </c>
      <c r="AP27" s="16">
        <v>2</v>
      </c>
      <c r="AQ27" s="16">
        <v>202731</v>
      </c>
      <c r="AR27" s="16">
        <v>2632.8701298701299</v>
      </c>
      <c r="AS27" s="16">
        <v>9</v>
      </c>
      <c r="AT27" s="16">
        <v>3449</v>
      </c>
      <c r="AU27" s="16">
        <v>3352</v>
      </c>
      <c r="AV27" s="16">
        <v>90</v>
      </c>
      <c r="AW27" s="16">
        <v>7</v>
      </c>
      <c r="AX27" s="16">
        <v>3371</v>
      </c>
      <c r="AY27" s="16">
        <v>6</v>
      </c>
      <c r="AZ27" s="16">
        <v>140188</v>
      </c>
      <c r="BA27" s="16">
        <v>41.660624071322438</v>
      </c>
    </row>
    <row r="28" spans="1:53" x14ac:dyDescent="0.35">
      <c r="A28" s="26" t="s">
        <v>75</v>
      </c>
      <c r="B28" s="16" t="s">
        <v>76</v>
      </c>
      <c r="C28" s="16" t="s">
        <v>241</v>
      </c>
      <c r="D28" s="16" t="s">
        <v>45</v>
      </c>
      <c r="E28" s="16" t="s">
        <v>239</v>
      </c>
      <c r="F28" s="16">
        <v>8</v>
      </c>
      <c r="G28" s="16">
        <v>368453157.41999972</v>
      </c>
      <c r="H28" s="16">
        <v>3142</v>
      </c>
      <c r="I28" s="16">
        <v>63972814.91999995</v>
      </c>
      <c r="J28" s="16">
        <v>0.17362536765311901</v>
      </c>
      <c r="K28" s="16">
        <v>46056644.677499957</v>
      </c>
      <c r="L28" s="16">
        <v>392.75</v>
      </c>
      <c r="M28" s="16">
        <v>117267.0774729471</v>
      </c>
      <c r="N28" s="16">
        <v>2108</v>
      </c>
      <c r="O28" s="16">
        <v>8</v>
      </c>
      <c r="P28" s="16">
        <v>368453157.41999972</v>
      </c>
      <c r="Q28" s="16">
        <v>63972814.91999995</v>
      </c>
      <c r="R28" s="16">
        <v>0.17362536765311901</v>
      </c>
      <c r="S28" s="16">
        <v>3142</v>
      </c>
      <c r="T28" s="16">
        <v>2108</v>
      </c>
      <c r="U28" s="16">
        <v>8</v>
      </c>
      <c r="V28" s="16">
        <v>94498520.580000028</v>
      </c>
      <c r="W28" s="16">
        <v>1266</v>
      </c>
      <c r="X28" s="16">
        <v>0.25647363491658498</v>
      </c>
      <c r="Y28" s="16">
        <v>0.74352636508341496</v>
      </c>
      <c r="Z28" s="16">
        <v>10703896.039999999</v>
      </c>
      <c r="AA28" s="16">
        <v>0.11327051444089389</v>
      </c>
      <c r="AB28" s="16">
        <v>988</v>
      </c>
      <c r="AC28" s="16">
        <v>3203</v>
      </c>
      <c r="AD28" s="16">
        <v>3041</v>
      </c>
      <c r="AE28" s="16">
        <v>153</v>
      </c>
      <c r="AF28" s="16">
        <v>9</v>
      </c>
      <c r="AG28" s="16">
        <v>3098</v>
      </c>
      <c r="AH28" s="16">
        <v>2936</v>
      </c>
      <c r="AI28" s="16">
        <v>153</v>
      </c>
      <c r="AJ28" s="16">
        <v>9</v>
      </c>
      <c r="AK28" s="16">
        <v>140412</v>
      </c>
      <c r="AL28" s="16">
        <v>45.455487212690187</v>
      </c>
      <c r="AM28" s="16">
        <v>105</v>
      </c>
      <c r="AN28" s="16">
        <v>105</v>
      </c>
      <c r="AO28" s="16">
        <v>0</v>
      </c>
      <c r="AP28" s="16">
        <v>0</v>
      </c>
      <c r="AQ28" s="16">
        <v>266264</v>
      </c>
      <c r="AR28" s="16">
        <v>2535.847619047619</v>
      </c>
      <c r="AS28" s="16">
        <v>24</v>
      </c>
      <c r="AT28" s="16">
        <v>3179</v>
      </c>
      <c r="AU28" s="16">
        <v>3029</v>
      </c>
      <c r="AV28" s="16">
        <v>142</v>
      </c>
      <c r="AW28" s="16">
        <v>8</v>
      </c>
      <c r="AX28" s="16">
        <v>3075</v>
      </c>
      <c r="AY28" s="16">
        <v>8</v>
      </c>
      <c r="AZ28" s="16">
        <v>136841</v>
      </c>
      <c r="BA28" s="16">
        <v>44.61721552005217</v>
      </c>
    </row>
    <row r="29" spans="1:53" x14ac:dyDescent="0.35">
      <c r="A29" s="26" t="s">
        <v>43</v>
      </c>
      <c r="B29" s="16" t="s">
        <v>44</v>
      </c>
      <c r="C29" s="16" t="s">
        <v>241</v>
      </c>
      <c r="D29" s="16" t="s">
        <v>45</v>
      </c>
      <c r="E29" s="16" t="s">
        <v>239</v>
      </c>
      <c r="F29" s="16">
        <v>8</v>
      </c>
      <c r="G29" s="16">
        <v>410971413.74999982</v>
      </c>
      <c r="H29" s="16">
        <v>3680</v>
      </c>
      <c r="I29" s="16">
        <v>70408495.309999943</v>
      </c>
      <c r="J29" s="16">
        <v>0.17132212352081139</v>
      </c>
      <c r="K29" s="16">
        <v>51371426.718749978</v>
      </c>
      <c r="L29" s="16">
        <v>460</v>
      </c>
      <c r="M29" s="16">
        <v>111677.0146059782</v>
      </c>
      <c r="N29" s="16">
        <v>2567</v>
      </c>
      <c r="O29" s="16">
        <v>8</v>
      </c>
      <c r="P29" s="16">
        <v>410971413.74999982</v>
      </c>
      <c r="Q29" s="16">
        <v>70408495.309999943</v>
      </c>
      <c r="R29" s="16">
        <v>0.17132212352081139</v>
      </c>
      <c r="S29" s="16">
        <v>3680</v>
      </c>
      <c r="T29" s="16">
        <v>2567</v>
      </c>
      <c r="U29" s="16">
        <v>8</v>
      </c>
      <c r="V29" s="16">
        <v>97993698.900000021</v>
      </c>
      <c r="W29" s="16">
        <v>1410</v>
      </c>
      <c r="X29" s="16">
        <v>0.23844407572252971</v>
      </c>
      <c r="Y29" s="16">
        <v>0.76155592427747032</v>
      </c>
      <c r="Z29" s="16">
        <v>11442087.460000001</v>
      </c>
      <c r="AA29" s="16">
        <v>0.1167635020255368</v>
      </c>
      <c r="AB29" s="16">
        <v>1179</v>
      </c>
      <c r="AC29" s="16">
        <v>3734</v>
      </c>
      <c r="AD29" s="16">
        <v>3649</v>
      </c>
      <c r="AE29" s="16">
        <v>72</v>
      </c>
      <c r="AF29" s="16">
        <v>13</v>
      </c>
      <c r="AG29" s="16">
        <v>3655</v>
      </c>
      <c r="AH29" s="16">
        <v>3572</v>
      </c>
      <c r="AI29" s="16">
        <v>72</v>
      </c>
      <c r="AJ29" s="16">
        <v>11</v>
      </c>
      <c r="AK29" s="16">
        <v>160068</v>
      </c>
      <c r="AL29" s="16">
        <v>43.926454445664113</v>
      </c>
      <c r="AM29" s="16">
        <v>79</v>
      </c>
      <c r="AN29" s="16">
        <v>77</v>
      </c>
      <c r="AO29" s="16">
        <v>0</v>
      </c>
      <c r="AP29" s="16">
        <v>2</v>
      </c>
      <c r="AQ29" s="16">
        <v>206867</v>
      </c>
      <c r="AR29" s="16">
        <v>2686.5844155844161</v>
      </c>
      <c r="AS29" s="16">
        <v>23</v>
      </c>
      <c r="AT29" s="16">
        <v>3711</v>
      </c>
      <c r="AU29" s="16">
        <v>3635</v>
      </c>
      <c r="AV29" s="16">
        <v>64</v>
      </c>
      <c r="AW29" s="16">
        <v>12</v>
      </c>
      <c r="AX29" s="16">
        <v>3635</v>
      </c>
      <c r="AY29" s="16">
        <v>11</v>
      </c>
      <c r="AZ29" s="16">
        <v>158131</v>
      </c>
      <c r="BA29" s="16">
        <v>43.634381898454748</v>
      </c>
    </row>
    <row r="30" spans="1:53" x14ac:dyDescent="0.35">
      <c r="A30" s="26" t="s">
        <v>109</v>
      </c>
      <c r="B30" s="16" t="s">
        <v>110</v>
      </c>
      <c r="C30" s="16" t="s">
        <v>241</v>
      </c>
      <c r="D30" s="16" t="s">
        <v>45</v>
      </c>
      <c r="E30" s="16" t="s">
        <v>239</v>
      </c>
      <c r="F30" s="16">
        <v>8</v>
      </c>
      <c r="G30" s="16">
        <v>462433097.58999968</v>
      </c>
      <c r="H30" s="16">
        <v>4376</v>
      </c>
      <c r="I30" s="16">
        <v>79657513.449999943</v>
      </c>
      <c r="J30" s="16">
        <v>0.17225737920823639</v>
      </c>
      <c r="K30" s="16">
        <v>57804137.198749959</v>
      </c>
      <c r="L30" s="16">
        <v>547</v>
      </c>
      <c r="M30" s="16">
        <v>105674.8394858317</v>
      </c>
      <c r="N30" s="16">
        <v>3031</v>
      </c>
      <c r="O30" s="16">
        <v>8</v>
      </c>
      <c r="P30" s="16">
        <v>462433097.58999968</v>
      </c>
      <c r="Q30" s="16">
        <v>79657513.449999943</v>
      </c>
      <c r="R30" s="16">
        <v>0.17225737920823639</v>
      </c>
      <c r="S30" s="16">
        <v>4376</v>
      </c>
      <c r="T30" s="16">
        <v>3031</v>
      </c>
      <c r="U30" s="16">
        <v>8</v>
      </c>
      <c r="V30" s="16">
        <v>102588585.1799999</v>
      </c>
      <c r="W30" s="16">
        <v>1587</v>
      </c>
      <c r="X30" s="16">
        <v>0.22184524791726001</v>
      </c>
      <c r="Y30" s="16">
        <v>0.7781547520827401</v>
      </c>
      <c r="Z30" s="16">
        <v>11768731.609999999</v>
      </c>
      <c r="AA30" s="16">
        <v>0.11471774943918769</v>
      </c>
      <c r="AB30" s="16">
        <v>1310</v>
      </c>
      <c r="AC30" s="16">
        <v>4451</v>
      </c>
      <c r="AD30" s="16">
        <v>2944</v>
      </c>
      <c r="AE30" s="16">
        <v>1462</v>
      </c>
      <c r="AF30" s="16">
        <v>45</v>
      </c>
      <c r="AG30" s="16">
        <v>4379</v>
      </c>
      <c r="AH30" s="16">
        <v>2894</v>
      </c>
      <c r="AI30" s="16">
        <v>1461</v>
      </c>
      <c r="AJ30" s="16">
        <v>24</v>
      </c>
      <c r="AK30" s="16">
        <v>257299</v>
      </c>
      <c r="AL30" s="16">
        <v>59.081285878300797</v>
      </c>
      <c r="AM30" s="16">
        <v>62</v>
      </c>
      <c r="AN30" s="16">
        <v>50</v>
      </c>
      <c r="AO30" s="16">
        <v>1</v>
      </c>
      <c r="AP30" s="16">
        <v>11</v>
      </c>
      <c r="AQ30" s="16">
        <v>121604</v>
      </c>
      <c r="AR30" s="16">
        <v>2384.3921568627452</v>
      </c>
      <c r="AS30" s="16">
        <v>12</v>
      </c>
      <c r="AT30" s="16">
        <v>4439</v>
      </c>
      <c r="AU30" s="16">
        <v>2938</v>
      </c>
      <c r="AV30" s="16">
        <v>1460</v>
      </c>
      <c r="AW30" s="16">
        <v>41</v>
      </c>
      <c r="AX30" s="16">
        <v>4368</v>
      </c>
      <c r="AY30" s="16">
        <v>21</v>
      </c>
      <c r="AZ30" s="16">
        <v>256801</v>
      </c>
      <c r="BA30" s="16">
        <v>59.075454336323901</v>
      </c>
    </row>
    <row r="31" spans="1:53" x14ac:dyDescent="0.35">
      <c r="A31" s="26" t="s">
        <v>95</v>
      </c>
      <c r="B31" s="16" t="s">
        <v>96</v>
      </c>
      <c r="C31" s="16" t="s">
        <v>241</v>
      </c>
      <c r="D31" s="16" t="s">
        <v>45</v>
      </c>
      <c r="E31" s="16" t="s">
        <v>239</v>
      </c>
      <c r="F31" s="16">
        <v>8</v>
      </c>
      <c r="G31" s="16">
        <v>465820102.23999977</v>
      </c>
      <c r="H31" s="16">
        <v>4051</v>
      </c>
      <c r="I31" s="16">
        <v>80299385.909999982</v>
      </c>
      <c r="J31" s="16">
        <v>0.17238282659735479</v>
      </c>
      <c r="K31" s="16">
        <v>58227512.779999971</v>
      </c>
      <c r="L31" s="16">
        <v>506.375</v>
      </c>
      <c r="M31" s="16">
        <v>114988.9168699086</v>
      </c>
      <c r="N31" s="16">
        <v>3043</v>
      </c>
      <c r="O31" s="16">
        <v>8</v>
      </c>
      <c r="P31" s="16">
        <v>465820102.23999977</v>
      </c>
      <c r="Q31" s="16">
        <v>80299385.909999982</v>
      </c>
      <c r="R31" s="16">
        <v>0.17238282659735479</v>
      </c>
      <c r="S31" s="16">
        <v>4051</v>
      </c>
      <c r="T31" s="16">
        <v>3043</v>
      </c>
      <c r="U31" s="16">
        <v>8</v>
      </c>
      <c r="V31" s="16">
        <v>114526743.43000001</v>
      </c>
      <c r="W31" s="16">
        <v>1701</v>
      </c>
      <c r="X31" s="16">
        <v>0.2458604574583034</v>
      </c>
      <c r="Y31" s="16">
        <v>0.75413954254169657</v>
      </c>
      <c r="Z31" s="16">
        <v>13129008</v>
      </c>
      <c r="AA31" s="16">
        <v>0.1146370498871697</v>
      </c>
      <c r="AB31" s="16">
        <v>1432</v>
      </c>
      <c r="AC31" s="16">
        <v>4110</v>
      </c>
      <c r="AD31" s="16">
        <v>2204</v>
      </c>
      <c r="AE31" s="16">
        <v>1883</v>
      </c>
      <c r="AF31" s="16">
        <v>23</v>
      </c>
      <c r="AG31" s="16">
        <v>4024</v>
      </c>
      <c r="AH31" s="16">
        <v>2120</v>
      </c>
      <c r="AI31" s="16">
        <v>1883</v>
      </c>
      <c r="AJ31" s="16">
        <v>21</v>
      </c>
      <c r="AK31" s="16">
        <v>296946</v>
      </c>
      <c r="AL31" s="16">
        <v>74.180864351736204</v>
      </c>
      <c r="AM31" s="16">
        <v>84</v>
      </c>
      <c r="AN31" s="16">
        <v>84</v>
      </c>
      <c r="AO31" s="16">
        <v>0</v>
      </c>
      <c r="AP31" s="16">
        <v>0</v>
      </c>
      <c r="AQ31" s="16">
        <v>229109</v>
      </c>
      <c r="AR31" s="16">
        <v>2727.488095238095</v>
      </c>
      <c r="AS31" s="16">
        <v>11</v>
      </c>
      <c r="AT31" s="16">
        <v>4099</v>
      </c>
      <c r="AU31" s="16">
        <v>2204</v>
      </c>
      <c r="AV31" s="16">
        <v>1874</v>
      </c>
      <c r="AW31" s="16">
        <v>21</v>
      </c>
      <c r="AX31" s="16">
        <v>4013</v>
      </c>
      <c r="AY31" s="16">
        <v>19</v>
      </c>
      <c r="AZ31" s="16">
        <v>296169</v>
      </c>
      <c r="BA31" s="16">
        <v>74.153480220330493</v>
      </c>
    </row>
    <row r="32" spans="1:53" x14ac:dyDescent="0.35">
      <c r="A32" s="26" t="s">
        <v>115</v>
      </c>
      <c r="B32" s="16" t="s">
        <v>116</v>
      </c>
      <c r="C32" s="16" t="s">
        <v>241</v>
      </c>
      <c r="D32" s="16" t="s">
        <v>45</v>
      </c>
      <c r="E32" s="16" t="s">
        <v>239</v>
      </c>
      <c r="F32" s="16">
        <v>8</v>
      </c>
      <c r="G32" s="16">
        <v>500914317.57999992</v>
      </c>
      <c r="H32" s="16">
        <v>4330</v>
      </c>
      <c r="I32" s="16">
        <v>84253488.359999999</v>
      </c>
      <c r="J32" s="16">
        <v>0.16819940138074421</v>
      </c>
      <c r="K32" s="16">
        <v>62614289.69749999</v>
      </c>
      <c r="L32" s="16">
        <v>541.25</v>
      </c>
      <c r="M32" s="16">
        <v>115684.59990300229</v>
      </c>
      <c r="N32" s="16">
        <v>3251</v>
      </c>
      <c r="O32" s="16">
        <v>8</v>
      </c>
      <c r="P32" s="16">
        <v>500914317.57999992</v>
      </c>
      <c r="Q32" s="16">
        <v>84253488.359999999</v>
      </c>
      <c r="R32" s="16">
        <v>0.16819940138074421</v>
      </c>
      <c r="S32" s="16">
        <v>4330</v>
      </c>
      <c r="T32" s="16">
        <v>3251</v>
      </c>
      <c r="U32" s="16">
        <v>8</v>
      </c>
      <c r="V32" s="16">
        <v>127112850.40000001</v>
      </c>
      <c r="W32" s="16">
        <v>1764</v>
      </c>
      <c r="X32" s="16">
        <v>0.25376166330022909</v>
      </c>
      <c r="Y32" s="16">
        <v>0.74623833669977091</v>
      </c>
      <c r="Z32" s="16">
        <v>14678045.9</v>
      </c>
      <c r="AA32" s="16">
        <v>0.11547255728914101</v>
      </c>
      <c r="AB32" s="16">
        <v>1509</v>
      </c>
      <c r="AC32" s="16">
        <v>4487</v>
      </c>
      <c r="AD32" s="16">
        <v>3021</v>
      </c>
      <c r="AE32" s="16">
        <v>1355</v>
      </c>
      <c r="AF32" s="16">
        <v>111</v>
      </c>
      <c r="AG32" s="16">
        <v>4366</v>
      </c>
      <c r="AH32" s="16">
        <v>2924</v>
      </c>
      <c r="AI32" s="16">
        <v>1355</v>
      </c>
      <c r="AJ32" s="16">
        <v>87</v>
      </c>
      <c r="AK32" s="16">
        <v>259944</v>
      </c>
      <c r="AL32" s="16">
        <v>60.748773077821923</v>
      </c>
      <c r="AM32" s="16">
        <v>106</v>
      </c>
      <c r="AN32" s="16">
        <v>97</v>
      </c>
      <c r="AO32" s="16">
        <v>0</v>
      </c>
      <c r="AP32" s="16">
        <v>9</v>
      </c>
      <c r="AQ32" s="16">
        <v>243569</v>
      </c>
      <c r="AR32" s="16">
        <v>2511.0206185567008</v>
      </c>
      <c r="AS32" s="16">
        <v>18</v>
      </c>
      <c r="AT32" s="16">
        <v>4469</v>
      </c>
      <c r="AU32" s="16">
        <v>3016</v>
      </c>
      <c r="AV32" s="16">
        <v>1347</v>
      </c>
      <c r="AW32" s="16">
        <v>106</v>
      </c>
      <c r="AX32" s="16">
        <v>4349</v>
      </c>
      <c r="AY32" s="16">
        <v>82</v>
      </c>
      <c r="AZ32" s="16">
        <v>258688</v>
      </c>
      <c r="BA32" s="16">
        <v>60.625263651277237</v>
      </c>
    </row>
    <row r="33" spans="1:53" x14ac:dyDescent="0.35">
      <c r="A33" s="26" t="s">
        <v>121</v>
      </c>
      <c r="B33" s="16" t="s">
        <v>122</v>
      </c>
      <c r="C33" s="16" t="s">
        <v>241</v>
      </c>
      <c r="D33" s="16" t="s">
        <v>45</v>
      </c>
      <c r="E33" s="16" t="s">
        <v>239</v>
      </c>
      <c r="F33" s="16">
        <v>8</v>
      </c>
      <c r="G33" s="16">
        <v>419117229.83999968</v>
      </c>
      <c r="H33" s="16">
        <v>4572</v>
      </c>
      <c r="I33" s="16">
        <v>79413500.089999959</v>
      </c>
      <c r="J33" s="16">
        <v>0.18947801339571871</v>
      </c>
      <c r="K33" s="16">
        <v>52389653.729999967</v>
      </c>
      <c r="L33" s="16">
        <v>571.5</v>
      </c>
      <c r="M33" s="16">
        <v>91670.435223097054</v>
      </c>
      <c r="N33" s="16">
        <v>3477</v>
      </c>
      <c r="O33" s="16">
        <v>8</v>
      </c>
      <c r="P33" s="16">
        <v>419117229.83999968</v>
      </c>
      <c r="Q33" s="16">
        <v>79413500.089999959</v>
      </c>
      <c r="R33" s="16">
        <v>0.18947801339571871</v>
      </c>
      <c r="S33" s="16">
        <v>4572</v>
      </c>
      <c r="T33" s="16">
        <v>3477</v>
      </c>
      <c r="U33" s="16">
        <v>8</v>
      </c>
      <c r="V33" s="16">
        <v>81977542.340000018</v>
      </c>
      <c r="W33" s="16">
        <v>1332</v>
      </c>
      <c r="X33" s="16">
        <v>0.19559573432782851</v>
      </c>
      <c r="Y33" s="16">
        <v>0.80440426567217149</v>
      </c>
      <c r="Z33" s="16">
        <v>9832019.0000000019</v>
      </c>
      <c r="AA33" s="16">
        <v>0.1199355179400466</v>
      </c>
      <c r="AB33" s="16">
        <v>1162</v>
      </c>
      <c r="AC33" s="16">
        <v>4766</v>
      </c>
      <c r="AD33" s="16">
        <v>3812</v>
      </c>
      <c r="AE33" s="16">
        <v>851</v>
      </c>
      <c r="AF33" s="16">
        <v>103</v>
      </c>
      <c r="AG33" s="16">
        <v>4555</v>
      </c>
      <c r="AH33" s="16">
        <v>3605</v>
      </c>
      <c r="AI33" s="16">
        <v>847</v>
      </c>
      <c r="AJ33" s="16">
        <v>103</v>
      </c>
      <c r="AK33" s="16">
        <v>231622</v>
      </c>
      <c r="AL33" s="16">
        <v>52.026504941599278</v>
      </c>
      <c r="AM33" s="16">
        <v>211</v>
      </c>
      <c r="AN33" s="16">
        <v>207</v>
      </c>
      <c r="AO33" s="16">
        <v>4</v>
      </c>
      <c r="AP33" s="16">
        <v>0</v>
      </c>
      <c r="AQ33" s="16">
        <v>587789</v>
      </c>
      <c r="AR33" s="16">
        <v>2785.7298578199052</v>
      </c>
      <c r="AS33" s="16">
        <v>7</v>
      </c>
      <c r="AT33" s="16">
        <v>4759</v>
      </c>
      <c r="AU33" s="16">
        <v>3810</v>
      </c>
      <c r="AV33" s="16">
        <v>850</v>
      </c>
      <c r="AW33" s="16">
        <v>99</v>
      </c>
      <c r="AX33" s="16">
        <v>4548</v>
      </c>
      <c r="AY33" s="16">
        <v>99</v>
      </c>
      <c r="AZ33" s="16">
        <v>231280</v>
      </c>
      <c r="BA33" s="16">
        <v>51.9847156664419</v>
      </c>
    </row>
    <row r="34" spans="1:53" x14ac:dyDescent="0.35">
      <c r="A34" s="26" t="s">
        <v>67</v>
      </c>
      <c r="B34" s="16" t="s">
        <v>68</v>
      </c>
      <c r="C34" s="16" t="s">
        <v>242</v>
      </c>
      <c r="D34" s="16" t="s">
        <v>15</v>
      </c>
      <c r="E34" s="16" t="s">
        <v>239</v>
      </c>
      <c r="F34" s="16">
        <v>8</v>
      </c>
      <c r="G34" s="16">
        <v>306545643.6299994</v>
      </c>
      <c r="H34" s="16">
        <v>2898</v>
      </c>
      <c r="I34" s="16">
        <v>52837908.279999986</v>
      </c>
      <c r="J34" s="16">
        <v>0.17236554939849461</v>
      </c>
      <c r="K34" s="16">
        <v>38318205.453749917</v>
      </c>
      <c r="L34" s="16">
        <v>362.25</v>
      </c>
      <c r="M34" s="16">
        <v>105778.344937888</v>
      </c>
      <c r="N34" s="16">
        <v>2105</v>
      </c>
      <c r="O34" s="16">
        <v>8</v>
      </c>
      <c r="P34" s="16">
        <v>306545643.6299994</v>
      </c>
      <c r="Q34" s="16">
        <v>52837908.279999986</v>
      </c>
      <c r="R34" s="16">
        <v>0.17236554939849461</v>
      </c>
      <c r="S34" s="16">
        <v>2898</v>
      </c>
      <c r="T34" s="16">
        <v>2105</v>
      </c>
      <c r="U34" s="16">
        <v>8</v>
      </c>
      <c r="V34" s="16">
        <v>74198117.150000006</v>
      </c>
      <c r="W34" s="16">
        <v>1083</v>
      </c>
      <c r="X34" s="16">
        <v>0.2420459030876235</v>
      </c>
      <c r="Y34" s="16">
        <v>0.75795409691237647</v>
      </c>
      <c r="Z34" s="16">
        <v>8287506.0199999996</v>
      </c>
      <c r="AA34" s="16">
        <v>0.11169429007539181</v>
      </c>
      <c r="AB34" s="16">
        <v>926</v>
      </c>
      <c r="AC34" s="16">
        <v>2945</v>
      </c>
      <c r="AD34" s="16">
        <v>2543</v>
      </c>
      <c r="AE34" s="16">
        <v>391</v>
      </c>
      <c r="AF34" s="16">
        <v>11</v>
      </c>
      <c r="AG34" s="16">
        <v>2818</v>
      </c>
      <c r="AH34" s="16">
        <v>2485</v>
      </c>
      <c r="AI34" s="16">
        <v>326</v>
      </c>
      <c r="AJ34" s="16">
        <v>7</v>
      </c>
      <c r="AK34" s="16">
        <v>127699</v>
      </c>
      <c r="AL34" s="16">
        <v>45.428317324795437</v>
      </c>
      <c r="AM34" s="16">
        <v>126</v>
      </c>
      <c r="AN34" s="16">
        <v>58</v>
      </c>
      <c r="AO34" s="16">
        <v>65</v>
      </c>
      <c r="AP34" s="16">
        <v>3</v>
      </c>
      <c r="AQ34" s="16">
        <v>624356</v>
      </c>
      <c r="AR34" s="16">
        <v>5076.0650406504064</v>
      </c>
      <c r="AS34" s="16">
        <v>0</v>
      </c>
      <c r="AT34" s="16">
        <v>2945</v>
      </c>
      <c r="AU34" s="16">
        <v>2543</v>
      </c>
      <c r="AV34" s="16">
        <v>391</v>
      </c>
      <c r="AW34" s="16">
        <v>11</v>
      </c>
      <c r="AX34" s="16">
        <v>2818</v>
      </c>
      <c r="AY34" s="16">
        <v>7</v>
      </c>
      <c r="AZ34" s="16">
        <v>127699</v>
      </c>
      <c r="BA34" s="16">
        <v>45.428317324795437</v>
      </c>
    </row>
    <row r="35" spans="1:53" x14ac:dyDescent="0.35">
      <c r="A35" s="26" t="s">
        <v>117</v>
      </c>
      <c r="B35" s="16" t="s">
        <v>118</v>
      </c>
      <c r="C35" s="16" t="s">
        <v>242</v>
      </c>
      <c r="D35" s="16" t="s">
        <v>15</v>
      </c>
      <c r="E35" s="16" t="s">
        <v>239</v>
      </c>
      <c r="F35" s="16">
        <v>8</v>
      </c>
      <c r="G35" s="16">
        <v>311395865.95999968</v>
      </c>
      <c r="H35" s="16">
        <v>3333</v>
      </c>
      <c r="I35" s="16">
        <v>61867803.880000062</v>
      </c>
      <c r="J35" s="16">
        <v>0.1986789506317572</v>
      </c>
      <c r="K35" s="16">
        <v>38924483.24499996</v>
      </c>
      <c r="L35" s="16">
        <v>416.625</v>
      </c>
      <c r="M35" s="16">
        <v>93428.102598259735</v>
      </c>
      <c r="N35" s="16">
        <v>2571</v>
      </c>
      <c r="O35" s="16">
        <v>8</v>
      </c>
      <c r="P35" s="16">
        <v>311395865.95999968</v>
      </c>
      <c r="Q35" s="16">
        <v>61867803.880000062</v>
      </c>
      <c r="R35" s="16">
        <v>0.1986789506317572</v>
      </c>
      <c r="S35" s="16">
        <v>3333</v>
      </c>
      <c r="T35" s="16">
        <v>2571</v>
      </c>
      <c r="U35" s="16">
        <v>8</v>
      </c>
      <c r="V35" s="16">
        <v>53966443.390000023</v>
      </c>
      <c r="W35" s="16">
        <v>1010</v>
      </c>
      <c r="X35" s="16">
        <v>0.17330494489266041</v>
      </c>
      <c r="Y35" s="16">
        <v>0.82669505510733954</v>
      </c>
      <c r="Z35" s="16">
        <v>6420695.5100000007</v>
      </c>
      <c r="AA35" s="16">
        <v>0.11897570243048031</v>
      </c>
      <c r="AB35" s="16">
        <v>897</v>
      </c>
      <c r="AC35" s="16">
        <v>3425</v>
      </c>
      <c r="AD35" s="16">
        <v>2758</v>
      </c>
      <c r="AE35" s="16">
        <v>615</v>
      </c>
      <c r="AF35" s="16">
        <v>52</v>
      </c>
      <c r="AG35" s="16">
        <v>3326</v>
      </c>
      <c r="AH35" s="16">
        <v>2706</v>
      </c>
      <c r="AI35" s="16">
        <v>572</v>
      </c>
      <c r="AJ35" s="16">
        <v>48</v>
      </c>
      <c r="AK35" s="16">
        <v>176836</v>
      </c>
      <c r="AL35" s="16">
        <v>53.946308724832207</v>
      </c>
      <c r="AM35" s="16">
        <v>99</v>
      </c>
      <c r="AN35" s="16">
        <v>52</v>
      </c>
      <c r="AO35" s="16">
        <v>43</v>
      </c>
      <c r="AP35" s="16">
        <v>4</v>
      </c>
      <c r="AQ35" s="16">
        <v>440157</v>
      </c>
      <c r="AR35" s="16">
        <v>4633.2315789473687</v>
      </c>
      <c r="AS35" s="16">
        <v>23</v>
      </c>
      <c r="AT35" s="16">
        <v>3402</v>
      </c>
      <c r="AU35" s="16">
        <v>2753</v>
      </c>
      <c r="AV35" s="16">
        <v>597</v>
      </c>
      <c r="AW35" s="16">
        <v>52</v>
      </c>
      <c r="AX35" s="16">
        <v>3303</v>
      </c>
      <c r="AY35" s="16">
        <v>48</v>
      </c>
      <c r="AZ35" s="16">
        <v>172035</v>
      </c>
      <c r="BA35" s="16">
        <v>52.852534562211979</v>
      </c>
    </row>
    <row r="36" spans="1:53" x14ac:dyDescent="0.35">
      <c r="A36" s="26" t="s">
        <v>88</v>
      </c>
      <c r="B36" s="16" t="s">
        <v>89</v>
      </c>
      <c r="C36" s="16" t="s">
        <v>242</v>
      </c>
      <c r="D36" s="16" t="s">
        <v>15</v>
      </c>
      <c r="E36" s="16" t="s">
        <v>239</v>
      </c>
      <c r="F36" s="16">
        <v>8</v>
      </c>
      <c r="G36" s="16">
        <v>409409494.99999958</v>
      </c>
      <c r="H36" s="16">
        <v>4343</v>
      </c>
      <c r="I36" s="16">
        <v>74769164.359999955</v>
      </c>
      <c r="J36" s="16">
        <v>0.1826268449391972</v>
      </c>
      <c r="K36" s="16">
        <v>51176186.874999948</v>
      </c>
      <c r="L36" s="16">
        <v>542.875</v>
      </c>
      <c r="M36" s="16">
        <v>94268.82224268929</v>
      </c>
      <c r="N36" s="16">
        <v>3025</v>
      </c>
      <c r="O36" s="16">
        <v>8</v>
      </c>
      <c r="P36" s="16">
        <v>409409494.99999958</v>
      </c>
      <c r="Q36" s="16">
        <v>74769164.359999955</v>
      </c>
      <c r="R36" s="16">
        <v>0.1826268449391972</v>
      </c>
      <c r="S36" s="16">
        <v>4343</v>
      </c>
      <c r="T36" s="16">
        <v>3025</v>
      </c>
      <c r="U36" s="16">
        <v>8</v>
      </c>
      <c r="V36" s="16">
        <v>79574071.079999998</v>
      </c>
      <c r="W36" s="16">
        <v>1440</v>
      </c>
      <c r="X36" s="16">
        <v>0.19436303273816369</v>
      </c>
      <c r="Y36" s="16">
        <v>0.80563696726183631</v>
      </c>
      <c r="Z36" s="16">
        <v>9646726.25</v>
      </c>
      <c r="AA36" s="16">
        <v>0.1212295175937604</v>
      </c>
      <c r="AB36" s="16">
        <v>1208</v>
      </c>
      <c r="AC36" s="16">
        <v>4401</v>
      </c>
      <c r="AD36" s="16">
        <v>3024</v>
      </c>
      <c r="AE36" s="16">
        <v>1357</v>
      </c>
      <c r="AF36" s="16">
        <v>20</v>
      </c>
      <c r="AG36" s="16">
        <v>4243</v>
      </c>
      <c r="AH36" s="16">
        <v>2945</v>
      </c>
      <c r="AI36" s="16">
        <v>1285</v>
      </c>
      <c r="AJ36" s="16">
        <v>13</v>
      </c>
      <c r="AK36" s="16">
        <v>239263</v>
      </c>
      <c r="AL36" s="16">
        <v>56.563356973995269</v>
      </c>
      <c r="AM36" s="16">
        <v>157</v>
      </c>
      <c r="AN36" s="16">
        <v>79</v>
      </c>
      <c r="AO36" s="16">
        <v>72</v>
      </c>
      <c r="AP36" s="16">
        <v>6</v>
      </c>
      <c r="AQ36" s="16">
        <v>778638</v>
      </c>
      <c r="AR36" s="16">
        <v>5156.5430463576158</v>
      </c>
      <c r="AS36" s="16">
        <v>13</v>
      </c>
      <c r="AT36" s="16">
        <v>4388</v>
      </c>
      <c r="AU36" s="16">
        <v>3020</v>
      </c>
      <c r="AV36" s="16">
        <v>1348</v>
      </c>
      <c r="AW36" s="16">
        <v>20</v>
      </c>
      <c r="AX36" s="16">
        <v>4230</v>
      </c>
      <c r="AY36" s="16">
        <v>13</v>
      </c>
      <c r="AZ36" s="16">
        <v>238246</v>
      </c>
      <c r="BA36" s="16">
        <v>56.496561536637422</v>
      </c>
    </row>
    <row r="37" spans="1:53" x14ac:dyDescent="0.35">
      <c r="A37" s="26" t="s">
        <v>93</v>
      </c>
      <c r="B37" s="16" t="s">
        <v>94</v>
      </c>
      <c r="C37" s="16" t="s">
        <v>242</v>
      </c>
      <c r="D37" s="16" t="s">
        <v>15</v>
      </c>
      <c r="E37" s="16" t="s">
        <v>239</v>
      </c>
      <c r="F37" s="16">
        <v>8</v>
      </c>
      <c r="G37" s="16">
        <v>277387393.48999947</v>
      </c>
      <c r="H37" s="16">
        <v>2804</v>
      </c>
      <c r="I37" s="16">
        <v>49911989.360000007</v>
      </c>
      <c r="J37" s="16">
        <v>0.17993604082731851</v>
      </c>
      <c r="K37" s="16">
        <v>34673424.186249942</v>
      </c>
      <c r="L37" s="16">
        <v>350.5</v>
      </c>
      <c r="M37" s="16">
        <v>98925.603955064027</v>
      </c>
      <c r="N37" s="16">
        <v>2081</v>
      </c>
      <c r="O37" s="16">
        <v>8</v>
      </c>
      <c r="P37" s="16">
        <v>277387393.48999947</v>
      </c>
      <c r="Q37" s="16">
        <v>49911989.360000007</v>
      </c>
      <c r="R37" s="16">
        <v>0.17993604082731851</v>
      </c>
      <c r="S37" s="16">
        <v>2804</v>
      </c>
      <c r="T37" s="16">
        <v>2081</v>
      </c>
      <c r="U37" s="16">
        <v>8</v>
      </c>
      <c r="V37" s="16">
        <v>57306407.670000002</v>
      </c>
      <c r="W37" s="16">
        <v>981</v>
      </c>
      <c r="X37" s="16">
        <v>0.20659341056920111</v>
      </c>
      <c r="Y37" s="16">
        <v>0.79340658943079889</v>
      </c>
      <c r="Z37" s="16">
        <v>6794295.6899999985</v>
      </c>
      <c r="AA37" s="16">
        <v>0.11856083754412031</v>
      </c>
      <c r="AB37" s="16">
        <v>835</v>
      </c>
      <c r="AC37" s="16">
        <v>2866</v>
      </c>
      <c r="AD37" s="16">
        <v>2269</v>
      </c>
      <c r="AE37" s="16">
        <v>549</v>
      </c>
      <c r="AF37" s="16">
        <v>48</v>
      </c>
      <c r="AG37" s="16">
        <v>2808</v>
      </c>
      <c r="AH37" s="16">
        <v>2242</v>
      </c>
      <c r="AI37" s="16">
        <v>540</v>
      </c>
      <c r="AJ37" s="16">
        <v>26</v>
      </c>
      <c r="AK37" s="16">
        <v>148352</v>
      </c>
      <c r="AL37" s="16">
        <v>53.325664989216392</v>
      </c>
      <c r="AM37" s="16">
        <v>51</v>
      </c>
      <c r="AN37" s="16">
        <v>27</v>
      </c>
      <c r="AO37" s="16">
        <v>9</v>
      </c>
      <c r="AP37" s="16">
        <v>15</v>
      </c>
      <c r="AQ37" s="16">
        <v>153520</v>
      </c>
      <c r="AR37" s="16">
        <v>4264.4444444444443</v>
      </c>
      <c r="AS37" s="16">
        <v>33</v>
      </c>
      <c r="AT37" s="16">
        <v>2833</v>
      </c>
      <c r="AU37" s="16">
        <v>2250</v>
      </c>
      <c r="AV37" s="16">
        <v>537</v>
      </c>
      <c r="AW37" s="16">
        <v>46</v>
      </c>
      <c r="AX37" s="16">
        <v>2776</v>
      </c>
      <c r="AY37" s="16">
        <v>24</v>
      </c>
      <c r="AZ37" s="16">
        <v>144956</v>
      </c>
      <c r="BA37" s="16">
        <v>52.672965116279073</v>
      </c>
    </row>
    <row r="38" spans="1:53" x14ac:dyDescent="0.35">
      <c r="A38" s="26" t="s">
        <v>119</v>
      </c>
      <c r="B38" s="16" t="s">
        <v>120</v>
      </c>
      <c r="C38" s="16" t="s">
        <v>242</v>
      </c>
      <c r="D38" s="16" t="s">
        <v>15</v>
      </c>
      <c r="E38" s="16" t="s">
        <v>239</v>
      </c>
      <c r="F38" s="16">
        <v>8</v>
      </c>
      <c r="G38" s="16">
        <v>508090251.25999892</v>
      </c>
      <c r="H38" s="16">
        <v>4577</v>
      </c>
      <c r="I38" s="16">
        <v>82590542.24000001</v>
      </c>
      <c r="J38" s="16">
        <v>0.16255092876745031</v>
      </c>
      <c r="K38" s="16">
        <v>63511281.407499857</v>
      </c>
      <c r="L38" s="16">
        <v>572.125</v>
      </c>
      <c r="M38" s="16">
        <v>111009.44969630741</v>
      </c>
      <c r="N38" s="16">
        <v>3313</v>
      </c>
      <c r="O38" s="16">
        <v>8</v>
      </c>
      <c r="P38" s="16">
        <v>508090251.25999892</v>
      </c>
      <c r="Q38" s="16">
        <v>82590542.24000001</v>
      </c>
      <c r="R38" s="16">
        <v>0.16255092876745031</v>
      </c>
      <c r="S38" s="16">
        <v>4577</v>
      </c>
      <c r="T38" s="16">
        <v>3313</v>
      </c>
      <c r="U38" s="16">
        <v>8</v>
      </c>
      <c r="V38" s="16">
        <v>126514467.81999999</v>
      </c>
      <c r="W38" s="16">
        <v>1847</v>
      </c>
      <c r="X38" s="16">
        <v>0.24899999066358841</v>
      </c>
      <c r="Y38" s="16">
        <v>0.75100000933641153</v>
      </c>
      <c r="Z38" s="16">
        <v>14455584.130000001</v>
      </c>
      <c r="AA38" s="16">
        <v>0.1142603243651695</v>
      </c>
      <c r="AB38" s="16">
        <v>1547</v>
      </c>
      <c r="AC38" s="16">
        <v>4731</v>
      </c>
      <c r="AD38" s="16">
        <v>3166</v>
      </c>
      <c r="AE38" s="16">
        <v>1503</v>
      </c>
      <c r="AF38" s="16">
        <v>62</v>
      </c>
      <c r="AG38" s="16">
        <v>4406</v>
      </c>
      <c r="AH38" s="16">
        <v>3002</v>
      </c>
      <c r="AI38" s="16">
        <v>1361</v>
      </c>
      <c r="AJ38" s="16">
        <v>43</v>
      </c>
      <c r="AK38" s="16">
        <v>308440</v>
      </c>
      <c r="AL38" s="16">
        <v>70.694476277790514</v>
      </c>
      <c r="AM38" s="16">
        <v>319</v>
      </c>
      <c r="AN38" s="16">
        <v>164</v>
      </c>
      <c r="AO38" s="16">
        <v>142</v>
      </c>
      <c r="AP38" s="16">
        <v>13</v>
      </c>
      <c r="AQ38" s="16">
        <v>1654090</v>
      </c>
      <c r="AR38" s="16">
        <v>5405.5228758169933</v>
      </c>
      <c r="AS38" s="16">
        <v>20</v>
      </c>
      <c r="AT38" s="16">
        <v>4711</v>
      </c>
      <c r="AU38" s="16">
        <v>3161</v>
      </c>
      <c r="AV38" s="16">
        <v>1491</v>
      </c>
      <c r="AW38" s="16">
        <v>59</v>
      </c>
      <c r="AX38" s="16">
        <v>4388</v>
      </c>
      <c r="AY38" s="16">
        <v>40</v>
      </c>
      <c r="AZ38" s="16">
        <v>306432</v>
      </c>
      <c r="BA38" s="16">
        <v>70.476540938362461</v>
      </c>
    </row>
    <row r="39" spans="1:53" x14ac:dyDescent="0.35">
      <c r="A39" s="26" t="s">
        <v>85</v>
      </c>
      <c r="B39" s="16" t="s">
        <v>86</v>
      </c>
      <c r="C39" s="16" t="s">
        <v>247</v>
      </c>
      <c r="D39" s="16" t="s">
        <v>87</v>
      </c>
      <c r="E39" s="16" t="s">
        <v>239</v>
      </c>
      <c r="F39" s="16">
        <v>8</v>
      </c>
      <c r="G39" s="16">
        <v>373042153.06999952</v>
      </c>
      <c r="H39" s="16">
        <v>3838</v>
      </c>
      <c r="I39" s="16">
        <v>62569280.599999927</v>
      </c>
      <c r="J39" s="16">
        <v>0.16772710559672091</v>
      </c>
      <c r="K39" s="16">
        <v>46630269.13374994</v>
      </c>
      <c r="L39" s="16">
        <v>479.75</v>
      </c>
      <c r="M39" s="16">
        <v>97197.017475247398</v>
      </c>
      <c r="N39" s="16">
        <v>3009</v>
      </c>
      <c r="O39" s="16">
        <v>8</v>
      </c>
      <c r="P39" s="16">
        <v>373042153.06999952</v>
      </c>
      <c r="Q39" s="16">
        <v>62569280.599999927</v>
      </c>
      <c r="R39" s="16">
        <v>0.16772710559672091</v>
      </c>
      <c r="S39" s="16">
        <v>3838</v>
      </c>
      <c r="T39" s="16">
        <v>3009</v>
      </c>
      <c r="U39" s="16">
        <v>8</v>
      </c>
      <c r="V39" s="16">
        <v>66824459.720000014</v>
      </c>
      <c r="W39" s="16">
        <v>1001</v>
      </c>
      <c r="X39" s="16">
        <v>0.17913380343229129</v>
      </c>
      <c r="Y39" s="16">
        <v>0.82086619656770876</v>
      </c>
      <c r="Z39" s="16">
        <v>6762321.5300000012</v>
      </c>
      <c r="AA39" s="16">
        <v>0.1011953042094869</v>
      </c>
      <c r="AB39" s="16">
        <v>891</v>
      </c>
      <c r="AC39" s="16">
        <v>3951</v>
      </c>
      <c r="AD39" s="16">
        <v>1757</v>
      </c>
      <c r="AE39" s="16">
        <v>2091</v>
      </c>
      <c r="AF39" s="16">
        <v>103</v>
      </c>
      <c r="AG39" s="16">
        <v>3893</v>
      </c>
      <c r="AH39" s="16">
        <v>1720</v>
      </c>
      <c r="AI39" s="16">
        <v>2091</v>
      </c>
      <c r="AJ39" s="16">
        <v>82</v>
      </c>
      <c r="AK39" s="16">
        <v>421341</v>
      </c>
      <c r="AL39" s="16">
        <v>110.55917082130679</v>
      </c>
      <c r="AM39" s="16">
        <v>43</v>
      </c>
      <c r="AN39" s="16">
        <v>37</v>
      </c>
      <c r="AO39" s="16">
        <v>0</v>
      </c>
      <c r="AP39" s="16">
        <v>6</v>
      </c>
      <c r="AQ39" s="16">
        <v>85977</v>
      </c>
      <c r="AR39" s="16">
        <v>2323.702702702702</v>
      </c>
      <c r="AS39" s="16">
        <v>308</v>
      </c>
      <c r="AT39" s="16">
        <v>3643</v>
      </c>
      <c r="AU39" s="16">
        <v>1652</v>
      </c>
      <c r="AV39" s="16">
        <v>1899</v>
      </c>
      <c r="AW39" s="16">
        <v>92</v>
      </c>
      <c r="AX39" s="16">
        <v>3590</v>
      </c>
      <c r="AY39" s="16">
        <v>71</v>
      </c>
      <c r="AZ39" s="16">
        <v>386054</v>
      </c>
      <c r="BA39" s="16">
        <v>109.7055981813015</v>
      </c>
    </row>
    <row r="40" spans="1:53" x14ac:dyDescent="0.35">
      <c r="A40" s="26" t="s">
        <v>164</v>
      </c>
      <c r="B40" s="16" t="s">
        <v>165</v>
      </c>
      <c r="C40" s="16" t="s">
        <v>247</v>
      </c>
      <c r="D40" s="16" t="s">
        <v>87</v>
      </c>
      <c r="E40" s="16" t="s">
        <v>239</v>
      </c>
      <c r="F40" s="16">
        <v>8</v>
      </c>
      <c r="G40" s="16">
        <v>356996476.22999913</v>
      </c>
      <c r="H40" s="16">
        <v>3954</v>
      </c>
      <c r="I40" s="16">
        <v>63578335.829999924</v>
      </c>
      <c r="J40" s="16">
        <v>0.17809233441575731</v>
      </c>
      <c r="K40" s="16">
        <v>44624559.528749883</v>
      </c>
      <c r="L40" s="16">
        <v>494.25</v>
      </c>
      <c r="M40" s="16">
        <v>90287.424438543007</v>
      </c>
      <c r="N40" s="16">
        <v>2993</v>
      </c>
      <c r="O40" s="16">
        <v>8</v>
      </c>
      <c r="P40" s="16">
        <v>356996476.22999913</v>
      </c>
      <c r="Q40" s="16">
        <v>63578335.829999924</v>
      </c>
      <c r="R40" s="16">
        <v>0.17809233441575731</v>
      </c>
      <c r="S40" s="16">
        <v>3954</v>
      </c>
      <c r="T40" s="16">
        <v>2993</v>
      </c>
      <c r="U40" s="16">
        <v>8</v>
      </c>
      <c r="V40" s="16">
        <v>52355360.970000014</v>
      </c>
      <c r="W40" s="16">
        <v>779</v>
      </c>
      <c r="X40" s="16">
        <v>0.14665511974484999</v>
      </c>
      <c r="Y40" s="16">
        <v>0.85334488025514998</v>
      </c>
      <c r="Z40" s="16">
        <v>5374735.4199999999</v>
      </c>
      <c r="AA40" s="16">
        <v>0.1026587405839826</v>
      </c>
      <c r="AB40" s="16">
        <v>700</v>
      </c>
      <c r="AC40" s="16">
        <v>4048</v>
      </c>
      <c r="AD40" s="16">
        <v>2894</v>
      </c>
      <c r="AE40" s="16">
        <v>1107</v>
      </c>
      <c r="AF40" s="16">
        <v>47</v>
      </c>
      <c r="AG40" s="16">
        <v>3968</v>
      </c>
      <c r="AH40" s="16">
        <v>2822</v>
      </c>
      <c r="AI40" s="16">
        <v>1104</v>
      </c>
      <c r="AJ40" s="16">
        <v>42</v>
      </c>
      <c r="AK40" s="16">
        <v>239908</v>
      </c>
      <c r="AL40" s="16">
        <v>61.107488537952108</v>
      </c>
      <c r="AM40" s="16">
        <v>79</v>
      </c>
      <c r="AN40" s="16">
        <v>72</v>
      </c>
      <c r="AO40" s="16">
        <v>3</v>
      </c>
      <c r="AP40" s="16">
        <v>4</v>
      </c>
      <c r="AQ40" s="16">
        <v>135164</v>
      </c>
      <c r="AR40" s="16">
        <v>1802.186666666667</v>
      </c>
      <c r="AS40" s="16">
        <v>11</v>
      </c>
      <c r="AT40" s="16">
        <v>4037</v>
      </c>
      <c r="AU40" s="16">
        <v>2890</v>
      </c>
      <c r="AV40" s="16">
        <v>1104</v>
      </c>
      <c r="AW40" s="16">
        <v>43</v>
      </c>
      <c r="AX40" s="16">
        <v>3957</v>
      </c>
      <c r="AY40" s="16">
        <v>38</v>
      </c>
      <c r="AZ40" s="16">
        <v>239338</v>
      </c>
      <c r="BA40" s="16">
        <v>61.071191630517987</v>
      </c>
    </row>
    <row r="41" spans="1:53" x14ac:dyDescent="0.35">
      <c r="A41" s="26" t="s">
        <v>140</v>
      </c>
      <c r="B41" s="16" t="s">
        <v>141</v>
      </c>
      <c r="C41" s="16" t="s">
        <v>286</v>
      </c>
      <c r="D41" s="16" t="s">
        <v>142</v>
      </c>
      <c r="E41" s="16" t="s">
        <v>239</v>
      </c>
      <c r="F41" s="16">
        <v>8</v>
      </c>
      <c r="G41" s="16">
        <v>300228831.01999962</v>
      </c>
      <c r="H41" s="16">
        <v>3285</v>
      </c>
      <c r="I41" s="16">
        <v>54581236.659999959</v>
      </c>
      <c r="J41" s="16">
        <v>0.18179878486208431</v>
      </c>
      <c r="K41" s="16">
        <v>37528603.877499953</v>
      </c>
      <c r="L41" s="16">
        <v>410.625</v>
      </c>
      <c r="M41" s="16">
        <v>91393.860280060762</v>
      </c>
      <c r="N41" s="16">
        <v>2395</v>
      </c>
      <c r="O41" s="16">
        <v>8</v>
      </c>
      <c r="P41" s="16">
        <v>300228831.01999962</v>
      </c>
      <c r="Q41" s="16">
        <v>54581236.659999959</v>
      </c>
      <c r="R41" s="16">
        <v>0.18179878486208431</v>
      </c>
      <c r="S41" s="16">
        <v>3285</v>
      </c>
      <c r="T41" s="16">
        <v>2395</v>
      </c>
      <c r="U41" s="16">
        <v>8</v>
      </c>
      <c r="V41" s="16">
        <v>44028919.079999983</v>
      </c>
      <c r="W41" s="16">
        <v>726</v>
      </c>
      <c r="X41" s="16">
        <v>0.14665120245252869</v>
      </c>
      <c r="Y41" s="16">
        <v>0.85334879754747139</v>
      </c>
      <c r="Z41" s="16">
        <v>5544082.5799999982</v>
      </c>
      <c r="AA41" s="16">
        <v>0.12591911625008259</v>
      </c>
      <c r="AB41" s="16">
        <v>619</v>
      </c>
      <c r="AC41" s="16">
        <v>3331</v>
      </c>
      <c r="AD41" s="16">
        <v>2530</v>
      </c>
      <c r="AE41" s="16">
        <v>791</v>
      </c>
      <c r="AF41" s="16">
        <v>10</v>
      </c>
      <c r="AG41" s="16">
        <v>3250</v>
      </c>
      <c r="AH41" s="16">
        <v>2451</v>
      </c>
      <c r="AI41" s="16">
        <v>791</v>
      </c>
      <c r="AJ41" s="16">
        <v>8</v>
      </c>
      <c r="AK41" s="16">
        <v>184410</v>
      </c>
      <c r="AL41" s="16">
        <v>56.881554595928442</v>
      </c>
      <c r="AM41" s="16">
        <v>80</v>
      </c>
      <c r="AN41" s="16">
        <v>79</v>
      </c>
      <c r="AO41" s="16">
        <v>0</v>
      </c>
      <c r="AP41" s="16">
        <v>1</v>
      </c>
      <c r="AQ41" s="16">
        <v>241269</v>
      </c>
      <c r="AR41" s="16">
        <v>3054.0379746835438</v>
      </c>
      <c r="AS41" s="16">
        <v>11</v>
      </c>
      <c r="AT41" s="16">
        <v>3320</v>
      </c>
      <c r="AU41" s="16">
        <v>2527</v>
      </c>
      <c r="AV41" s="16">
        <v>784</v>
      </c>
      <c r="AW41" s="16">
        <v>9</v>
      </c>
      <c r="AX41" s="16">
        <v>3239</v>
      </c>
      <c r="AY41" s="16">
        <v>7</v>
      </c>
      <c r="AZ41" s="16">
        <v>183250</v>
      </c>
      <c r="BA41" s="16">
        <v>56.698638613861377</v>
      </c>
    </row>
    <row r="42" spans="1:53" x14ac:dyDescent="0.35">
      <c r="A42" s="26" t="s">
        <v>50</v>
      </c>
      <c r="B42" s="16" t="s">
        <v>51</v>
      </c>
      <c r="C42" s="16" t="s">
        <v>248</v>
      </c>
      <c r="D42" s="16" t="s">
        <v>52</v>
      </c>
      <c r="E42" s="16" t="s">
        <v>239</v>
      </c>
      <c r="F42" s="16">
        <v>8</v>
      </c>
      <c r="G42" s="16">
        <v>336872157.54000002</v>
      </c>
      <c r="H42" s="16">
        <v>3267</v>
      </c>
      <c r="I42" s="16">
        <v>56242260.600000083</v>
      </c>
      <c r="J42" s="16">
        <v>0.1669543158767044</v>
      </c>
      <c r="K42" s="16">
        <v>42109019.692500003</v>
      </c>
      <c r="L42" s="16">
        <v>408.375</v>
      </c>
      <c r="M42" s="16">
        <v>103113.6080624426</v>
      </c>
      <c r="N42" s="16">
        <v>2314</v>
      </c>
      <c r="O42" s="16">
        <v>8</v>
      </c>
      <c r="P42" s="16">
        <v>336872157.54000002</v>
      </c>
      <c r="Q42" s="16">
        <v>56242260.600000083</v>
      </c>
      <c r="R42" s="16">
        <v>0.1669543158767044</v>
      </c>
      <c r="S42" s="16">
        <v>3267</v>
      </c>
      <c r="T42" s="16">
        <v>2314</v>
      </c>
      <c r="U42" s="16">
        <v>8</v>
      </c>
      <c r="V42" s="16">
        <v>61127703.190000013</v>
      </c>
      <c r="W42" s="16">
        <v>877</v>
      </c>
      <c r="X42" s="16">
        <v>0.1814566796982672</v>
      </c>
      <c r="Y42" s="16">
        <v>0.81854332030173271</v>
      </c>
      <c r="Z42" s="16">
        <v>5983925.4300000006</v>
      </c>
      <c r="AA42" s="16">
        <v>9.7892201370636839E-2</v>
      </c>
      <c r="AB42" s="16">
        <v>729</v>
      </c>
      <c r="AC42" s="16">
        <v>3316</v>
      </c>
      <c r="AD42" s="16">
        <v>2484</v>
      </c>
      <c r="AE42" s="16">
        <v>805</v>
      </c>
      <c r="AF42" s="16">
        <v>27</v>
      </c>
      <c r="AG42" s="16">
        <v>3266</v>
      </c>
      <c r="AH42" s="16">
        <v>2435</v>
      </c>
      <c r="AI42" s="16">
        <v>805</v>
      </c>
      <c r="AJ42" s="16">
        <v>26</v>
      </c>
      <c r="AK42" s="16">
        <v>201908</v>
      </c>
      <c r="AL42" s="16">
        <v>62.317283950617281</v>
      </c>
      <c r="AM42" s="16">
        <v>49</v>
      </c>
      <c r="AN42" s="16">
        <v>49</v>
      </c>
      <c r="AO42" s="16">
        <v>0</v>
      </c>
      <c r="AP42" s="16">
        <v>0</v>
      </c>
      <c r="AQ42" s="16">
        <v>114956</v>
      </c>
      <c r="AR42" s="16">
        <v>2346.0408163265311</v>
      </c>
      <c r="AS42" s="16">
        <v>20</v>
      </c>
      <c r="AT42" s="16">
        <v>3296</v>
      </c>
      <c r="AU42" s="16">
        <v>2480</v>
      </c>
      <c r="AV42" s="16">
        <v>797</v>
      </c>
      <c r="AW42" s="16">
        <v>19</v>
      </c>
      <c r="AX42" s="16">
        <v>3246</v>
      </c>
      <c r="AY42" s="16">
        <v>18</v>
      </c>
      <c r="AZ42" s="16">
        <v>199887</v>
      </c>
      <c r="BA42" s="16">
        <v>61.9228624535316</v>
      </c>
    </row>
    <row r="43" spans="1:53" x14ac:dyDescent="0.35">
      <c r="A43" s="26" t="s">
        <v>136</v>
      </c>
      <c r="B43" s="16" t="s">
        <v>137</v>
      </c>
      <c r="C43" s="16" t="s">
        <v>248</v>
      </c>
      <c r="D43" s="16" t="s">
        <v>52</v>
      </c>
      <c r="E43" s="16" t="s">
        <v>239</v>
      </c>
      <c r="F43" s="16">
        <v>8</v>
      </c>
      <c r="G43" s="16">
        <v>430232923.27999908</v>
      </c>
      <c r="H43" s="16">
        <v>3943</v>
      </c>
      <c r="I43" s="16">
        <v>71885719.600000069</v>
      </c>
      <c r="J43" s="16">
        <v>0.16708558483148961</v>
      </c>
      <c r="K43" s="16">
        <v>53779115.409999892</v>
      </c>
      <c r="L43" s="16">
        <v>492.875</v>
      </c>
      <c r="M43" s="16">
        <v>109113.0923865075</v>
      </c>
      <c r="N43" s="16">
        <v>2580</v>
      </c>
      <c r="O43" s="16">
        <v>8</v>
      </c>
      <c r="P43" s="16">
        <v>430232923.27999908</v>
      </c>
      <c r="Q43" s="16">
        <v>71885719.600000069</v>
      </c>
      <c r="R43" s="16">
        <v>0.16708558483148961</v>
      </c>
      <c r="S43" s="16">
        <v>3943</v>
      </c>
      <c r="T43" s="16">
        <v>2580</v>
      </c>
      <c r="U43" s="16">
        <v>8</v>
      </c>
      <c r="V43" s="16">
        <v>67607162.320000008</v>
      </c>
      <c r="W43" s="16">
        <v>961</v>
      </c>
      <c r="X43" s="16">
        <v>0.15714083851272509</v>
      </c>
      <c r="Y43" s="16">
        <v>0.84285916148727491</v>
      </c>
      <c r="Z43" s="16">
        <v>6538238.8099999996</v>
      </c>
      <c r="AA43" s="16">
        <v>9.6709262534242085E-2</v>
      </c>
      <c r="AB43" s="16">
        <v>774</v>
      </c>
      <c r="AC43" s="16">
        <v>3984</v>
      </c>
      <c r="AD43" s="16">
        <v>3787</v>
      </c>
      <c r="AE43" s="16">
        <v>192</v>
      </c>
      <c r="AF43" s="16">
        <v>5</v>
      </c>
      <c r="AG43" s="16">
        <v>3905</v>
      </c>
      <c r="AH43" s="16">
        <v>3708</v>
      </c>
      <c r="AI43" s="16">
        <v>192</v>
      </c>
      <c r="AJ43" s="16">
        <v>5</v>
      </c>
      <c r="AK43" s="16">
        <v>165563</v>
      </c>
      <c r="AL43" s="16">
        <v>42.452051282051279</v>
      </c>
      <c r="AM43" s="16">
        <v>79</v>
      </c>
      <c r="AN43" s="16">
        <v>79</v>
      </c>
      <c r="AO43" s="16">
        <v>0</v>
      </c>
      <c r="AP43" s="16">
        <v>0</v>
      </c>
      <c r="AQ43" s="16">
        <v>163961</v>
      </c>
      <c r="AR43" s="16">
        <v>2075.4556962025322</v>
      </c>
      <c r="AS43" s="16">
        <v>9</v>
      </c>
      <c r="AT43" s="16">
        <v>3975</v>
      </c>
      <c r="AU43" s="16">
        <v>3781</v>
      </c>
      <c r="AV43" s="16">
        <v>190</v>
      </c>
      <c r="AW43" s="16">
        <v>4</v>
      </c>
      <c r="AX43" s="16">
        <v>3898</v>
      </c>
      <c r="AY43" s="16">
        <v>4</v>
      </c>
      <c r="AZ43" s="16">
        <v>165128</v>
      </c>
      <c r="BA43" s="16">
        <v>42.405752439650747</v>
      </c>
    </row>
    <row r="44" spans="1:53" x14ac:dyDescent="0.35">
      <c r="A44" s="26" t="s">
        <v>29</v>
      </c>
      <c r="B44" s="16" t="s">
        <v>30</v>
      </c>
      <c r="C44" s="16" t="s">
        <v>249</v>
      </c>
      <c r="D44" s="16" t="s">
        <v>31</v>
      </c>
      <c r="E44" s="16" t="s">
        <v>239</v>
      </c>
      <c r="F44" s="16">
        <v>8</v>
      </c>
      <c r="G44" s="16">
        <v>291357086.82999998</v>
      </c>
      <c r="H44" s="16">
        <v>2689</v>
      </c>
      <c r="I44" s="16">
        <v>50298831.020000003</v>
      </c>
      <c r="J44" s="16">
        <v>0.1726363740359203</v>
      </c>
      <c r="K44" s="16">
        <v>36419635.853750013</v>
      </c>
      <c r="L44" s="16">
        <v>336.125</v>
      </c>
      <c r="M44" s="16">
        <v>108351.46404983271</v>
      </c>
      <c r="N44" s="16">
        <v>2062</v>
      </c>
      <c r="O44" s="16">
        <v>8</v>
      </c>
      <c r="P44" s="16">
        <v>291357086.82999998</v>
      </c>
      <c r="Q44" s="16">
        <v>50298831.020000003</v>
      </c>
      <c r="R44" s="16">
        <v>0.1726363740359203</v>
      </c>
      <c r="S44" s="16">
        <v>2689</v>
      </c>
      <c r="T44" s="16">
        <v>2062</v>
      </c>
      <c r="U44" s="16">
        <v>8</v>
      </c>
      <c r="V44" s="16">
        <v>53799639.909999989</v>
      </c>
      <c r="W44" s="16">
        <v>756</v>
      </c>
      <c r="X44" s="16">
        <v>0.18465190085247801</v>
      </c>
      <c r="Y44" s="16">
        <v>0.81534809914752204</v>
      </c>
      <c r="Z44" s="16">
        <v>5847450.8900000025</v>
      </c>
      <c r="AA44" s="16">
        <v>0.10868940572431431</v>
      </c>
      <c r="AB44" s="16">
        <v>662</v>
      </c>
      <c r="AC44" s="16">
        <v>2809</v>
      </c>
      <c r="AD44" s="16">
        <v>1211</v>
      </c>
      <c r="AE44" s="16">
        <v>1491</v>
      </c>
      <c r="AF44" s="16">
        <v>107</v>
      </c>
      <c r="AG44" s="16">
        <v>2764</v>
      </c>
      <c r="AH44" s="16">
        <v>1184</v>
      </c>
      <c r="AI44" s="16">
        <v>1489</v>
      </c>
      <c r="AJ44" s="16">
        <v>91</v>
      </c>
      <c r="AK44" s="16">
        <v>228987</v>
      </c>
      <c r="AL44" s="16">
        <v>85.666666666666671</v>
      </c>
      <c r="AM44" s="16">
        <v>39</v>
      </c>
      <c r="AN44" s="16">
        <v>27</v>
      </c>
      <c r="AO44" s="16">
        <v>2</v>
      </c>
      <c r="AP44" s="16">
        <v>10</v>
      </c>
      <c r="AQ44" s="16">
        <v>79194</v>
      </c>
      <c r="AR44" s="16">
        <v>2730.8275862068972</v>
      </c>
      <c r="AS44" s="16">
        <v>18</v>
      </c>
      <c r="AT44" s="16">
        <v>2791</v>
      </c>
      <c r="AU44" s="16">
        <v>1209</v>
      </c>
      <c r="AV44" s="16">
        <v>1486</v>
      </c>
      <c r="AW44" s="16">
        <v>96</v>
      </c>
      <c r="AX44" s="16">
        <v>2747</v>
      </c>
      <c r="AY44" s="16">
        <v>81</v>
      </c>
      <c r="AZ44" s="16">
        <v>228363</v>
      </c>
      <c r="BA44" s="16">
        <v>85.657539384846217</v>
      </c>
    </row>
    <row r="45" spans="1:53" x14ac:dyDescent="0.35">
      <c r="A45" s="26" t="s">
        <v>26</v>
      </c>
      <c r="B45" s="16" t="s">
        <v>27</v>
      </c>
      <c r="C45" s="16" t="s">
        <v>250</v>
      </c>
      <c r="D45" s="16" t="s">
        <v>28</v>
      </c>
      <c r="E45" s="16" t="s">
        <v>239</v>
      </c>
      <c r="F45" s="16">
        <v>8</v>
      </c>
      <c r="G45" s="16">
        <v>429083516.0199995</v>
      </c>
      <c r="H45" s="16">
        <v>4063</v>
      </c>
      <c r="I45" s="16">
        <v>74354028.419999987</v>
      </c>
      <c r="J45" s="16">
        <v>0.17328567899712641</v>
      </c>
      <c r="K45" s="16">
        <v>53635439.502499938</v>
      </c>
      <c r="L45" s="16">
        <v>507.875</v>
      </c>
      <c r="M45" s="16">
        <v>105607.5599360077</v>
      </c>
      <c r="N45" s="16">
        <v>2767</v>
      </c>
      <c r="O45" s="16">
        <v>8</v>
      </c>
      <c r="P45" s="16">
        <v>429083516.0199995</v>
      </c>
      <c r="Q45" s="16">
        <v>74354028.419999987</v>
      </c>
      <c r="R45" s="16">
        <v>0.17328567899712641</v>
      </c>
      <c r="S45" s="16">
        <v>4063</v>
      </c>
      <c r="T45" s="16">
        <v>2767</v>
      </c>
      <c r="U45" s="16">
        <v>8</v>
      </c>
      <c r="V45" s="16">
        <v>72502252.73999998</v>
      </c>
      <c r="W45" s="16">
        <v>1159</v>
      </c>
      <c r="X45" s="16">
        <v>0.16897002572483041</v>
      </c>
      <c r="Y45" s="16">
        <v>0.83102997427516967</v>
      </c>
      <c r="Z45" s="16">
        <v>7894704.790000001</v>
      </c>
      <c r="AA45" s="16">
        <v>0.10888909643002639</v>
      </c>
      <c r="AB45" s="16">
        <v>966</v>
      </c>
      <c r="AC45" s="16">
        <v>4151</v>
      </c>
      <c r="AD45" s="16">
        <v>3340</v>
      </c>
      <c r="AE45" s="16">
        <v>768</v>
      </c>
      <c r="AF45" s="16">
        <v>43</v>
      </c>
      <c r="AG45" s="16">
        <v>4079</v>
      </c>
      <c r="AH45" s="16">
        <v>3276</v>
      </c>
      <c r="AI45" s="16">
        <v>768</v>
      </c>
      <c r="AJ45" s="16">
        <v>35</v>
      </c>
      <c r="AK45" s="16">
        <v>212932</v>
      </c>
      <c r="AL45" s="16">
        <v>52.653808110781412</v>
      </c>
      <c r="AM45" s="16">
        <v>72</v>
      </c>
      <c r="AN45" s="16">
        <v>64</v>
      </c>
      <c r="AO45" s="16">
        <v>0</v>
      </c>
      <c r="AP45" s="16">
        <v>8</v>
      </c>
      <c r="AQ45" s="16">
        <v>115806</v>
      </c>
      <c r="AR45" s="16">
        <v>1809.46875</v>
      </c>
      <c r="AS45" s="16">
        <v>38</v>
      </c>
      <c r="AT45" s="16">
        <v>4113</v>
      </c>
      <c r="AU45" s="16">
        <v>3332</v>
      </c>
      <c r="AV45" s="16">
        <v>747</v>
      </c>
      <c r="AW45" s="16">
        <v>34</v>
      </c>
      <c r="AX45" s="16">
        <v>4043</v>
      </c>
      <c r="AY45" s="16">
        <v>27</v>
      </c>
      <c r="AZ45" s="16">
        <v>210187</v>
      </c>
      <c r="BA45" s="16">
        <v>52.337400398406373</v>
      </c>
    </row>
    <row r="46" spans="1:53" x14ac:dyDescent="0.35">
      <c r="A46" s="26" t="s">
        <v>53</v>
      </c>
      <c r="B46" s="16" t="s">
        <v>54</v>
      </c>
      <c r="C46" s="16" t="s">
        <v>250</v>
      </c>
      <c r="D46" s="16" t="s">
        <v>28</v>
      </c>
      <c r="E46" s="16" t="s">
        <v>239</v>
      </c>
      <c r="F46" s="16">
        <v>8</v>
      </c>
      <c r="G46" s="16">
        <v>502164820.26999962</v>
      </c>
      <c r="H46" s="16">
        <v>4463</v>
      </c>
      <c r="I46" s="16">
        <v>80005714.670000032</v>
      </c>
      <c r="J46" s="16">
        <v>0.15932162397792671</v>
      </c>
      <c r="K46" s="16">
        <v>62770602.533749953</v>
      </c>
      <c r="L46" s="16">
        <v>557.875</v>
      </c>
      <c r="M46" s="16">
        <v>112517.3247300022</v>
      </c>
      <c r="N46" s="16">
        <v>2991</v>
      </c>
      <c r="O46" s="16">
        <v>8</v>
      </c>
      <c r="P46" s="16">
        <v>502164820.26999962</v>
      </c>
      <c r="Q46" s="16">
        <v>80005714.670000032</v>
      </c>
      <c r="R46" s="16">
        <v>0.15932162397792671</v>
      </c>
      <c r="S46" s="16">
        <v>4463</v>
      </c>
      <c r="T46" s="16">
        <v>2991</v>
      </c>
      <c r="U46" s="16">
        <v>8</v>
      </c>
      <c r="V46" s="16">
        <v>86364144.640000015</v>
      </c>
      <c r="W46" s="16">
        <v>1286</v>
      </c>
      <c r="X46" s="16">
        <v>0.17198366184545641</v>
      </c>
      <c r="Y46" s="16">
        <v>0.82801633815454356</v>
      </c>
      <c r="Z46" s="16">
        <v>9026910</v>
      </c>
      <c r="AA46" s="16">
        <v>0.1045215006485358</v>
      </c>
      <c r="AB46" s="16">
        <v>1064</v>
      </c>
      <c r="AC46" s="16">
        <v>4545</v>
      </c>
      <c r="AD46" s="16">
        <v>3481</v>
      </c>
      <c r="AE46" s="16">
        <v>1020</v>
      </c>
      <c r="AF46" s="16">
        <v>44</v>
      </c>
      <c r="AG46" s="16">
        <v>4449</v>
      </c>
      <c r="AH46" s="16">
        <v>3402</v>
      </c>
      <c r="AI46" s="16">
        <v>1020</v>
      </c>
      <c r="AJ46" s="16">
        <v>27</v>
      </c>
      <c r="AK46" s="16">
        <v>252713</v>
      </c>
      <c r="AL46" s="16">
        <v>57.149027589326103</v>
      </c>
      <c r="AM46" s="16">
        <v>82</v>
      </c>
      <c r="AN46" s="16">
        <v>79</v>
      </c>
      <c r="AO46" s="16">
        <v>0</v>
      </c>
      <c r="AP46" s="16">
        <v>3</v>
      </c>
      <c r="AQ46" s="16">
        <v>198367</v>
      </c>
      <c r="AR46" s="16">
        <v>2510.9746835443038</v>
      </c>
      <c r="AS46" s="16">
        <v>83</v>
      </c>
      <c r="AT46" s="16">
        <v>4462</v>
      </c>
      <c r="AU46" s="16">
        <v>3460</v>
      </c>
      <c r="AV46" s="16">
        <v>965</v>
      </c>
      <c r="AW46" s="16">
        <v>37</v>
      </c>
      <c r="AX46" s="16">
        <v>4368</v>
      </c>
      <c r="AY46" s="16">
        <v>21</v>
      </c>
      <c r="AZ46" s="16">
        <v>246560</v>
      </c>
      <c r="BA46" s="16">
        <v>56.719576719576722</v>
      </c>
    </row>
    <row r="47" spans="1:53" x14ac:dyDescent="0.35">
      <c r="A47" s="26" t="s">
        <v>73</v>
      </c>
      <c r="B47" s="16" t="s">
        <v>74</v>
      </c>
      <c r="C47" s="16" t="s">
        <v>250</v>
      </c>
      <c r="D47" s="16" t="s">
        <v>28</v>
      </c>
      <c r="E47" s="16" t="s">
        <v>239</v>
      </c>
      <c r="F47" s="16">
        <v>8</v>
      </c>
      <c r="G47" s="16">
        <v>624421096.45999968</v>
      </c>
      <c r="H47" s="16">
        <v>5619</v>
      </c>
      <c r="I47" s="16">
        <v>103263482.7799997</v>
      </c>
      <c r="J47" s="16">
        <v>0.16537475009320859</v>
      </c>
      <c r="K47" s="16">
        <v>78052637.05749996</v>
      </c>
      <c r="L47" s="16">
        <v>702.375</v>
      </c>
      <c r="M47" s="16">
        <v>111126.7301050008</v>
      </c>
      <c r="N47" s="16">
        <v>3963</v>
      </c>
      <c r="O47" s="16">
        <v>8</v>
      </c>
      <c r="P47" s="16">
        <v>624421096.45999968</v>
      </c>
      <c r="Q47" s="16">
        <v>103263482.7799997</v>
      </c>
      <c r="R47" s="16">
        <v>0.16537475009320859</v>
      </c>
      <c r="S47" s="16">
        <v>5619</v>
      </c>
      <c r="T47" s="16">
        <v>3963</v>
      </c>
      <c r="U47" s="16">
        <v>8</v>
      </c>
      <c r="V47" s="16">
        <v>117142928.66</v>
      </c>
      <c r="W47" s="16">
        <v>1571</v>
      </c>
      <c r="X47" s="16">
        <v>0.1876024518135482</v>
      </c>
      <c r="Y47" s="16">
        <v>0.81239754818645182</v>
      </c>
      <c r="Z47" s="16">
        <v>11667448.199999999</v>
      </c>
      <c r="AA47" s="16">
        <v>9.9600106753895773E-2</v>
      </c>
      <c r="AB47" s="16">
        <v>1296</v>
      </c>
      <c r="AC47" s="16">
        <v>5744</v>
      </c>
      <c r="AD47" s="16">
        <v>4152</v>
      </c>
      <c r="AE47" s="16">
        <v>1478</v>
      </c>
      <c r="AF47" s="16">
        <v>114</v>
      </c>
      <c r="AG47" s="16">
        <v>5671</v>
      </c>
      <c r="AH47" s="16">
        <v>4104</v>
      </c>
      <c r="AI47" s="16">
        <v>1478</v>
      </c>
      <c r="AJ47" s="16">
        <v>89</v>
      </c>
      <c r="AK47" s="16">
        <v>327435</v>
      </c>
      <c r="AL47" s="16">
        <v>58.659082766033677</v>
      </c>
      <c r="AM47" s="16">
        <v>58</v>
      </c>
      <c r="AN47" s="16">
        <v>48</v>
      </c>
      <c r="AO47" s="16">
        <v>0</v>
      </c>
      <c r="AP47" s="16">
        <v>10</v>
      </c>
      <c r="AQ47" s="16">
        <v>94063</v>
      </c>
      <c r="AR47" s="16">
        <v>1959.645833333333</v>
      </c>
      <c r="AS47" s="16">
        <v>62</v>
      </c>
      <c r="AT47" s="16">
        <v>5682</v>
      </c>
      <c r="AU47" s="16">
        <v>4138</v>
      </c>
      <c r="AV47" s="16">
        <v>1448</v>
      </c>
      <c r="AW47" s="16">
        <v>96</v>
      </c>
      <c r="AX47" s="16">
        <v>5609</v>
      </c>
      <c r="AY47" s="16">
        <v>71</v>
      </c>
      <c r="AZ47" s="16">
        <v>323462</v>
      </c>
      <c r="BA47" s="16">
        <v>58.407728421812926</v>
      </c>
    </row>
    <row r="48" spans="1:53" x14ac:dyDescent="0.35">
      <c r="A48" s="26" t="s">
        <v>69</v>
      </c>
      <c r="B48" s="16" t="s">
        <v>70</v>
      </c>
      <c r="C48" s="16" t="s">
        <v>242</v>
      </c>
      <c r="D48" s="16" t="s">
        <v>15</v>
      </c>
      <c r="E48" s="16" t="s">
        <v>239</v>
      </c>
      <c r="F48" s="16">
        <v>8</v>
      </c>
      <c r="G48" s="16">
        <v>223098967.37999991</v>
      </c>
      <c r="H48" s="16">
        <v>2220</v>
      </c>
      <c r="I48" s="16">
        <v>42182411.979999997</v>
      </c>
      <c r="J48" s="16">
        <v>0.18907488669883241</v>
      </c>
      <c r="K48" s="16">
        <v>27887370.922499988</v>
      </c>
      <c r="L48" s="16">
        <v>277.5</v>
      </c>
      <c r="M48" s="16">
        <v>100495.03035135131</v>
      </c>
      <c r="N48" s="16">
        <v>1650</v>
      </c>
      <c r="O48" s="16">
        <v>8</v>
      </c>
      <c r="P48" s="16">
        <v>223098967.37999991</v>
      </c>
      <c r="Q48" s="16">
        <v>42182411.979999997</v>
      </c>
      <c r="R48" s="16">
        <v>0.18907488669883241</v>
      </c>
      <c r="S48" s="16">
        <v>2220</v>
      </c>
      <c r="T48" s="16">
        <v>1650</v>
      </c>
      <c r="U48" s="16">
        <v>8</v>
      </c>
      <c r="V48" s="16">
        <v>43983261.610000007</v>
      </c>
      <c r="W48" s="16">
        <v>698</v>
      </c>
      <c r="X48" s="16">
        <v>0.19714686323529329</v>
      </c>
      <c r="Y48" s="16">
        <v>0.80285313676470671</v>
      </c>
      <c r="Z48" s="16">
        <v>5529787.4100000011</v>
      </c>
      <c r="AA48" s="16">
        <v>0.12572481456770249</v>
      </c>
      <c r="AB48" s="16">
        <v>610</v>
      </c>
      <c r="AC48" s="16">
        <v>2267</v>
      </c>
      <c r="AD48" s="16">
        <v>2034</v>
      </c>
      <c r="AE48" s="16">
        <v>221</v>
      </c>
      <c r="AF48" s="16">
        <v>12</v>
      </c>
      <c r="AG48" s="16">
        <v>2210</v>
      </c>
      <c r="AH48" s="16">
        <v>1979</v>
      </c>
      <c r="AI48" s="16">
        <v>221</v>
      </c>
      <c r="AJ48" s="16">
        <v>10</v>
      </c>
      <c r="AK48" s="16">
        <v>98995</v>
      </c>
      <c r="AL48" s="16">
        <v>44.997727272727268</v>
      </c>
      <c r="AM48" s="16">
        <v>57</v>
      </c>
      <c r="AN48" s="16">
        <v>55</v>
      </c>
      <c r="AO48" s="16">
        <v>0</v>
      </c>
      <c r="AP48" s="16">
        <v>2</v>
      </c>
      <c r="AQ48" s="16">
        <v>69677</v>
      </c>
      <c r="AR48" s="16">
        <v>1266.8545454545449</v>
      </c>
      <c r="AS48" s="16">
        <v>29</v>
      </c>
      <c r="AT48" s="16">
        <v>2238</v>
      </c>
      <c r="AU48" s="16">
        <v>2019</v>
      </c>
      <c r="AV48" s="16">
        <v>208</v>
      </c>
      <c r="AW48" s="16">
        <v>11</v>
      </c>
      <c r="AX48" s="16">
        <v>2181</v>
      </c>
      <c r="AY48" s="16">
        <v>9</v>
      </c>
      <c r="AZ48" s="16">
        <v>96873</v>
      </c>
      <c r="BA48" s="16">
        <v>44.600828729281773</v>
      </c>
    </row>
    <row r="49" spans="1:53" x14ac:dyDescent="0.35">
      <c r="A49" s="26" t="s">
        <v>59</v>
      </c>
      <c r="B49" s="16" t="s">
        <v>60</v>
      </c>
      <c r="C49" s="16" t="s">
        <v>242</v>
      </c>
      <c r="D49" s="16" t="s">
        <v>15</v>
      </c>
      <c r="E49" s="16" t="s">
        <v>239</v>
      </c>
      <c r="F49" s="16">
        <v>8</v>
      </c>
      <c r="G49" s="16">
        <v>298286273.31999981</v>
      </c>
      <c r="H49" s="16">
        <v>2785</v>
      </c>
      <c r="I49" s="16">
        <v>52545245.179999977</v>
      </c>
      <c r="J49" s="16">
        <v>0.17615710101292439</v>
      </c>
      <c r="K49" s="16">
        <v>37285784.164999977</v>
      </c>
      <c r="L49" s="16">
        <v>348.125</v>
      </c>
      <c r="M49" s="16">
        <v>107104.5864703769</v>
      </c>
      <c r="N49" s="16">
        <v>2011</v>
      </c>
      <c r="O49" s="16">
        <v>8</v>
      </c>
      <c r="P49" s="16">
        <v>298286273.31999981</v>
      </c>
      <c r="Q49" s="16">
        <v>52545245.179999977</v>
      </c>
      <c r="R49" s="16">
        <v>0.17615710101292439</v>
      </c>
      <c r="S49" s="16">
        <v>2785</v>
      </c>
      <c r="T49" s="16">
        <v>2011</v>
      </c>
      <c r="U49" s="16">
        <v>8</v>
      </c>
      <c r="V49" s="16">
        <v>74564213.209999993</v>
      </c>
      <c r="W49" s="16">
        <v>1096</v>
      </c>
      <c r="X49" s="16">
        <v>0.24997534207686431</v>
      </c>
      <c r="Y49" s="16">
        <v>0.75002465792313566</v>
      </c>
      <c r="Z49" s="16">
        <v>8616315.5600000024</v>
      </c>
      <c r="AA49" s="16">
        <v>0.1155556424330975</v>
      </c>
      <c r="AB49" s="16">
        <v>904</v>
      </c>
      <c r="AC49" s="16">
        <v>2838</v>
      </c>
      <c r="AD49" s="16">
        <v>2226</v>
      </c>
      <c r="AE49" s="16">
        <v>597</v>
      </c>
      <c r="AF49" s="16">
        <v>15</v>
      </c>
      <c r="AG49" s="16">
        <v>2788</v>
      </c>
      <c r="AH49" s="16">
        <v>2180</v>
      </c>
      <c r="AI49" s="16">
        <v>597</v>
      </c>
      <c r="AJ49" s="16">
        <v>11</v>
      </c>
      <c r="AK49" s="16">
        <v>147589</v>
      </c>
      <c r="AL49" s="16">
        <v>53.146921137918618</v>
      </c>
      <c r="AM49" s="16">
        <v>47</v>
      </c>
      <c r="AN49" s="16">
        <v>46</v>
      </c>
      <c r="AO49" s="16">
        <v>0</v>
      </c>
      <c r="AP49" s="16">
        <v>1</v>
      </c>
      <c r="AQ49" s="16">
        <v>54417</v>
      </c>
      <c r="AR49" s="16">
        <v>1182.978260869565</v>
      </c>
      <c r="AS49" s="16">
        <v>3</v>
      </c>
      <c r="AT49" s="16">
        <v>2835</v>
      </c>
      <c r="AU49" s="16">
        <v>2225</v>
      </c>
      <c r="AV49" s="16">
        <v>595</v>
      </c>
      <c r="AW49" s="16">
        <v>15</v>
      </c>
      <c r="AX49" s="16">
        <v>2785</v>
      </c>
      <c r="AY49" s="16">
        <v>11</v>
      </c>
      <c r="AZ49" s="16">
        <v>147209</v>
      </c>
      <c r="BA49" s="16">
        <v>53.067411679884643</v>
      </c>
    </row>
    <row r="50" spans="1:53" x14ac:dyDescent="0.35">
      <c r="A50" s="26" t="s">
        <v>13</v>
      </c>
      <c r="B50" s="16" t="s">
        <v>14</v>
      </c>
      <c r="C50" s="16" t="s">
        <v>242</v>
      </c>
      <c r="D50" s="16" t="s">
        <v>15</v>
      </c>
      <c r="E50" s="16" t="s">
        <v>239</v>
      </c>
      <c r="F50" s="16">
        <v>8</v>
      </c>
      <c r="G50" s="16">
        <v>441711046.5999999</v>
      </c>
      <c r="H50" s="16">
        <v>4586</v>
      </c>
      <c r="I50" s="16">
        <v>77746152.25000003</v>
      </c>
      <c r="J50" s="16">
        <v>0.17601133783825099</v>
      </c>
      <c r="K50" s="16">
        <v>55213880.824999988</v>
      </c>
      <c r="L50" s="16">
        <v>573.25</v>
      </c>
      <c r="M50" s="16">
        <v>96317.280113388551</v>
      </c>
      <c r="N50" s="16">
        <v>3196</v>
      </c>
      <c r="O50" s="16">
        <v>8</v>
      </c>
      <c r="P50" s="16">
        <v>441711046.5999999</v>
      </c>
      <c r="Q50" s="16">
        <v>77746152.25000003</v>
      </c>
      <c r="R50" s="16">
        <v>0.17601133783825099</v>
      </c>
      <c r="S50" s="16">
        <v>4586</v>
      </c>
      <c r="T50" s="16">
        <v>3196</v>
      </c>
      <c r="U50" s="16">
        <v>8</v>
      </c>
      <c r="V50" s="16">
        <v>104610124.23999999</v>
      </c>
      <c r="W50" s="16">
        <v>1632</v>
      </c>
      <c r="X50" s="16">
        <v>0.23682931419809319</v>
      </c>
      <c r="Y50" s="16">
        <v>0.76317068580190672</v>
      </c>
      <c r="Z50" s="16">
        <v>12082334.07</v>
      </c>
      <c r="AA50" s="16">
        <v>0.1154987068200044</v>
      </c>
      <c r="AB50" s="16">
        <v>1336</v>
      </c>
      <c r="AC50" s="16">
        <v>4644</v>
      </c>
      <c r="AD50" s="16">
        <v>3572</v>
      </c>
      <c r="AE50" s="16">
        <v>1062</v>
      </c>
      <c r="AF50" s="16">
        <v>10</v>
      </c>
      <c r="AG50" s="16">
        <v>4575</v>
      </c>
      <c r="AH50" s="16">
        <v>3504</v>
      </c>
      <c r="AI50" s="16">
        <v>1062</v>
      </c>
      <c r="AJ50" s="16">
        <v>9</v>
      </c>
      <c r="AK50" s="16">
        <v>241346</v>
      </c>
      <c r="AL50" s="16">
        <v>52.857205431449849</v>
      </c>
      <c r="AM50" s="16">
        <v>68</v>
      </c>
      <c r="AN50" s="16">
        <v>68</v>
      </c>
      <c r="AO50" s="16">
        <v>0</v>
      </c>
      <c r="AP50" s="16">
        <v>0</v>
      </c>
      <c r="AQ50" s="16">
        <v>77545</v>
      </c>
      <c r="AR50" s="16">
        <v>1140.367647058823</v>
      </c>
      <c r="AS50" s="16">
        <v>23</v>
      </c>
      <c r="AT50" s="16">
        <v>4621</v>
      </c>
      <c r="AU50" s="16">
        <v>3564</v>
      </c>
      <c r="AV50" s="16">
        <v>1048</v>
      </c>
      <c r="AW50" s="16">
        <v>9</v>
      </c>
      <c r="AX50" s="16">
        <v>4553</v>
      </c>
      <c r="AY50" s="16">
        <v>8</v>
      </c>
      <c r="AZ50" s="16">
        <v>238891</v>
      </c>
      <c r="BA50" s="16">
        <v>52.561276127612757</v>
      </c>
    </row>
    <row r="51" spans="1:53" x14ac:dyDescent="0.35">
      <c r="A51" s="26" t="s">
        <v>18</v>
      </c>
      <c r="B51" s="16" t="s">
        <v>19</v>
      </c>
      <c r="C51" s="16" t="s">
        <v>242</v>
      </c>
      <c r="D51" s="16" t="s">
        <v>15</v>
      </c>
      <c r="E51" s="16" t="s">
        <v>239</v>
      </c>
      <c r="F51" s="16">
        <v>8</v>
      </c>
      <c r="G51" s="16">
        <v>427044710.9599998</v>
      </c>
      <c r="H51" s="16">
        <v>4617</v>
      </c>
      <c r="I51" s="16">
        <v>76912913.529999971</v>
      </c>
      <c r="J51" s="16">
        <v>0.18010506056168951</v>
      </c>
      <c r="K51" s="16">
        <v>53380588.869999968</v>
      </c>
      <c r="L51" s="16">
        <v>577.125</v>
      </c>
      <c r="M51" s="16">
        <v>92493.98114793151</v>
      </c>
      <c r="N51" s="16">
        <v>3130</v>
      </c>
      <c r="O51" s="16">
        <v>8</v>
      </c>
      <c r="P51" s="16">
        <v>427044710.9599998</v>
      </c>
      <c r="Q51" s="16">
        <v>76912913.529999971</v>
      </c>
      <c r="R51" s="16">
        <v>0.18010506056168951</v>
      </c>
      <c r="S51" s="16">
        <v>4617</v>
      </c>
      <c r="T51" s="16">
        <v>3130</v>
      </c>
      <c r="U51" s="16">
        <v>8</v>
      </c>
      <c r="V51" s="16">
        <v>99378958.13000001</v>
      </c>
      <c r="W51" s="16">
        <v>1583</v>
      </c>
      <c r="X51" s="16">
        <v>0.23271323957296031</v>
      </c>
      <c r="Y51" s="16">
        <v>0.76728676042703969</v>
      </c>
      <c r="Z51" s="16">
        <v>11457403.92</v>
      </c>
      <c r="AA51" s="16">
        <v>0.1152900386117179</v>
      </c>
      <c r="AB51" s="16">
        <v>1321</v>
      </c>
      <c r="AC51" s="16">
        <v>4679</v>
      </c>
      <c r="AD51" s="16">
        <v>4495</v>
      </c>
      <c r="AE51" s="16">
        <v>168</v>
      </c>
      <c r="AF51" s="16">
        <v>16</v>
      </c>
      <c r="AG51" s="16">
        <v>4602</v>
      </c>
      <c r="AH51" s="16">
        <v>4424</v>
      </c>
      <c r="AI51" s="16">
        <v>167</v>
      </c>
      <c r="AJ51" s="16">
        <v>11</v>
      </c>
      <c r="AK51" s="16">
        <v>194822</v>
      </c>
      <c r="AL51" s="16">
        <v>42.435634937922018</v>
      </c>
      <c r="AM51" s="16">
        <v>74</v>
      </c>
      <c r="AN51" s="16">
        <v>71</v>
      </c>
      <c r="AO51" s="16">
        <v>1</v>
      </c>
      <c r="AP51" s="16">
        <v>2</v>
      </c>
      <c r="AQ51" s="16">
        <v>134375</v>
      </c>
      <c r="AR51" s="16">
        <v>1866.3194444444439</v>
      </c>
      <c r="AS51" s="16">
        <v>2</v>
      </c>
      <c r="AT51" s="16">
        <v>4677</v>
      </c>
      <c r="AU51" s="16">
        <v>4493</v>
      </c>
      <c r="AV51" s="16">
        <v>168</v>
      </c>
      <c r="AW51" s="16">
        <v>16</v>
      </c>
      <c r="AX51" s="16">
        <v>4600</v>
      </c>
      <c r="AY51" s="16">
        <v>11</v>
      </c>
      <c r="AZ51" s="16">
        <v>194708</v>
      </c>
      <c r="BA51" s="16">
        <v>42.429287426454557</v>
      </c>
    </row>
    <row r="52" spans="1:53" x14ac:dyDescent="0.35">
      <c r="A52" s="26" t="s">
        <v>20</v>
      </c>
      <c r="B52" s="16" t="s">
        <v>21</v>
      </c>
      <c r="C52" s="16" t="s">
        <v>242</v>
      </c>
      <c r="D52" s="16" t="s">
        <v>15</v>
      </c>
      <c r="E52" s="16" t="s">
        <v>239</v>
      </c>
      <c r="F52" s="16">
        <v>8</v>
      </c>
      <c r="G52" s="16">
        <v>408377586.1699993</v>
      </c>
      <c r="H52" s="16">
        <v>4130</v>
      </c>
      <c r="I52" s="16">
        <v>73645153.060000047</v>
      </c>
      <c r="J52" s="16">
        <v>0.1803359331022224</v>
      </c>
      <c r="K52" s="16">
        <v>51047198.271249913</v>
      </c>
      <c r="L52" s="16">
        <v>516.25</v>
      </c>
      <c r="M52" s="16">
        <v>98880.771469733489</v>
      </c>
      <c r="N52" s="16">
        <v>2856</v>
      </c>
      <c r="O52" s="16">
        <v>8</v>
      </c>
      <c r="P52" s="16">
        <v>408377586.1699993</v>
      </c>
      <c r="Q52" s="16">
        <v>73645153.060000047</v>
      </c>
      <c r="R52" s="16">
        <v>0.1803359331022224</v>
      </c>
      <c r="S52" s="16">
        <v>4130</v>
      </c>
      <c r="T52" s="16">
        <v>2856</v>
      </c>
      <c r="U52" s="16">
        <v>8</v>
      </c>
      <c r="V52" s="16">
        <v>93759042.450000003</v>
      </c>
      <c r="W52" s="16">
        <v>1475</v>
      </c>
      <c r="X52" s="16">
        <v>0.22958909995361501</v>
      </c>
      <c r="Y52" s="16">
        <v>0.77041090004638502</v>
      </c>
      <c r="Z52" s="16">
        <v>10984716.23</v>
      </c>
      <c r="AA52" s="16">
        <v>0.117159006139146</v>
      </c>
      <c r="AB52" s="16">
        <v>1234</v>
      </c>
      <c r="AC52" s="16">
        <v>4203</v>
      </c>
      <c r="AD52" s="16">
        <v>3362</v>
      </c>
      <c r="AE52" s="16">
        <v>803</v>
      </c>
      <c r="AF52" s="16">
        <v>38</v>
      </c>
      <c r="AG52" s="16">
        <v>4132</v>
      </c>
      <c r="AH52" s="16">
        <v>3299</v>
      </c>
      <c r="AI52" s="16">
        <v>803</v>
      </c>
      <c r="AJ52" s="16">
        <v>30</v>
      </c>
      <c r="AK52" s="16">
        <v>211424</v>
      </c>
      <c r="AL52" s="16">
        <v>51.541686981960019</v>
      </c>
      <c r="AM52" s="16">
        <v>67</v>
      </c>
      <c r="AN52" s="16">
        <v>63</v>
      </c>
      <c r="AO52" s="16">
        <v>0</v>
      </c>
      <c r="AP52" s="16">
        <v>4</v>
      </c>
      <c r="AQ52" s="16">
        <v>98661</v>
      </c>
      <c r="AR52" s="16">
        <v>1566.047619047619</v>
      </c>
      <c r="AS52" s="16">
        <v>27</v>
      </c>
      <c r="AT52" s="16">
        <v>4176</v>
      </c>
      <c r="AU52" s="16">
        <v>3354</v>
      </c>
      <c r="AV52" s="16">
        <v>790</v>
      </c>
      <c r="AW52" s="16">
        <v>32</v>
      </c>
      <c r="AX52" s="16">
        <v>4106</v>
      </c>
      <c r="AY52" s="16">
        <v>24</v>
      </c>
      <c r="AZ52" s="16">
        <v>209963</v>
      </c>
      <c r="BA52" s="16">
        <v>51.43630573248408</v>
      </c>
    </row>
    <row r="53" spans="1:53" x14ac:dyDescent="0.35">
      <c r="A53" s="26" t="s">
        <v>99</v>
      </c>
      <c r="B53" s="16" t="s">
        <v>100</v>
      </c>
      <c r="C53" s="16" t="s">
        <v>242</v>
      </c>
      <c r="D53" s="16" t="s">
        <v>15</v>
      </c>
      <c r="E53" s="16" t="s">
        <v>239</v>
      </c>
      <c r="F53" s="16">
        <v>8</v>
      </c>
      <c r="G53" s="16">
        <v>302130149.59999979</v>
      </c>
      <c r="H53" s="16">
        <v>2802</v>
      </c>
      <c r="I53" s="16">
        <v>53310021.420000032</v>
      </c>
      <c r="J53" s="16">
        <v>0.17644720823320331</v>
      </c>
      <c r="K53" s="16">
        <v>37766268.699999973</v>
      </c>
      <c r="L53" s="16">
        <v>350.25</v>
      </c>
      <c r="M53" s="16">
        <v>107826.60585296209</v>
      </c>
      <c r="N53" s="16">
        <v>2005</v>
      </c>
      <c r="O53" s="16">
        <v>8</v>
      </c>
      <c r="P53" s="16">
        <v>302130149.59999979</v>
      </c>
      <c r="Q53" s="16">
        <v>53310021.420000032</v>
      </c>
      <c r="R53" s="16">
        <v>0.17644720823320331</v>
      </c>
      <c r="S53" s="16">
        <v>2802</v>
      </c>
      <c r="T53" s="16">
        <v>2005</v>
      </c>
      <c r="U53" s="16">
        <v>8</v>
      </c>
      <c r="V53" s="16">
        <v>74185511.36999999</v>
      </c>
      <c r="W53" s="16">
        <v>1065</v>
      </c>
      <c r="X53" s="16">
        <v>0.24554157030742099</v>
      </c>
      <c r="Y53" s="16">
        <v>0.75445842969257892</v>
      </c>
      <c r="Z53" s="16">
        <v>8277750.4500000011</v>
      </c>
      <c r="AA53" s="16">
        <v>0.1115817670746347</v>
      </c>
      <c r="AB53" s="16">
        <v>882</v>
      </c>
      <c r="AC53" s="16">
        <v>2838</v>
      </c>
      <c r="AD53" s="16">
        <v>1450</v>
      </c>
      <c r="AE53" s="16">
        <v>1377</v>
      </c>
      <c r="AF53" s="16">
        <v>11</v>
      </c>
      <c r="AG53" s="16">
        <v>2798</v>
      </c>
      <c r="AH53" s="16">
        <v>1412</v>
      </c>
      <c r="AI53" s="16">
        <v>1377</v>
      </c>
      <c r="AJ53" s="16">
        <v>9</v>
      </c>
      <c r="AK53" s="16">
        <v>207770</v>
      </c>
      <c r="AL53" s="16">
        <v>74.496235209752598</v>
      </c>
      <c r="AM53" s="16">
        <v>40</v>
      </c>
      <c r="AN53" s="16">
        <v>38</v>
      </c>
      <c r="AO53" s="16">
        <v>0</v>
      </c>
      <c r="AP53" s="16">
        <v>2</v>
      </c>
      <c r="AQ53" s="16">
        <v>72100</v>
      </c>
      <c r="AR53" s="16">
        <v>1897.3684210526319</v>
      </c>
      <c r="AS53" s="16">
        <v>5</v>
      </c>
      <c r="AT53" s="16">
        <v>2833</v>
      </c>
      <c r="AU53" s="16">
        <v>1450</v>
      </c>
      <c r="AV53" s="16">
        <v>1372</v>
      </c>
      <c r="AW53" s="16">
        <v>11</v>
      </c>
      <c r="AX53" s="16">
        <v>2793</v>
      </c>
      <c r="AY53" s="16">
        <v>9</v>
      </c>
      <c r="AZ53" s="16">
        <v>205156</v>
      </c>
      <c r="BA53" s="16">
        <v>73.691091954022994</v>
      </c>
    </row>
    <row r="54" spans="1:53" x14ac:dyDescent="0.35">
      <c r="A54" s="26" t="s">
        <v>123</v>
      </c>
      <c r="B54" s="16" t="s">
        <v>124</v>
      </c>
      <c r="C54" s="16" t="s">
        <v>242</v>
      </c>
      <c r="D54" s="16" t="s">
        <v>15</v>
      </c>
      <c r="E54" s="16" t="s">
        <v>239</v>
      </c>
      <c r="F54" s="16">
        <v>8</v>
      </c>
      <c r="G54" s="16">
        <v>336764545.82999969</v>
      </c>
      <c r="H54" s="16">
        <v>3097</v>
      </c>
      <c r="I54" s="16">
        <v>56120170.270000033</v>
      </c>
      <c r="J54" s="16">
        <v>0.16664512629049069</v>
      </c>
      <c r="K54" s="16">
        <v>42095568.228749961</v>
      </c>
      <c r="L54" s="16">
        <v>387.125</v>
      </c>
      <c r="M54" s="16">
        <v>108738.95570875031</v>
      </c>
      <c r="N54" s="16">
        <v>2231</v>
      </c>
      <c r="O54" s="16">
        <v>8</v>
      </c>
      <c r="P54" s="16">
        <v>336764545.82999969</v>
      </c>
      <c r="Q54" s="16">
        <v>56120170.270000033</v>
      </c>
      <c r="R54" s="16">
        <v>0.16664512629049069</v>
      </c>
      <c r="S54" s="16">
        <v>3097</v>
      </c>
      <c r="T54" s="16">
        <v>2231</v>
      </c>
      <c r="U54" s="16">
        <v>8</v>
      </c>
      <c r="V54" s="16">
        <v>84612326.560000002</v>
      </c>
      <c r="W54" s="16">
        <v>1210</v>
      </c>
      <c r="X54" s="16">
        <v>0.25125069609528522</v>
      </c>
      <c r="Y54" s="16">
        <v>0.74874930390471484</v>
      </c>
      <c r="Z54" s="16">
        <v>9431317.6699999981</v>
      </c>
      <c r="AA54" s="16">
        <v>0.111465055429153</v>
      </c>
      <c r="AB54" s="16">
        <v>1019</v>
      </c>
      <c r="AC54" s="16">
        <v>3151</v>
      </c>
      <c r="AD54" s="16">
        <v>1372</v>
      </c>
      <c r="AE54" s="16">
        <v>1760</v>
      </c>
      <c r="AF54" s="16">
        <v>19</v>
      </c>
      <c r="AG54" s="16">
        <v>3080</v>
      </c>
      <c r="AH54" s="16">
        <v>1306</v>
      </c>
      <c r="AI54" s="16">
        <v>1759</v>
      </c>
      <c r="AJ54" s="16">
        <v>15</v>
      </c>
      <c r="AK54" s="16">
        <v>269495</v>
      </c>
      <c r="AL54" s="16">
        <v>87.926590538336058</v>
      </c>
      <c r="AM54" s="16">
        <v>70</v>
      </c>
      <c r="AN54" s="16">
        <v>66</v>
      </c>
      <c r="AO54" s="16">
        <v>1</v>
      </c>
      <c r="AP54" s="16">
        <v>3</v>
      </c>
      <c r="AQ54" s="16">
        <v>112368</v>
      </c>
      <c r="AR54" s="16">
        <v>1677.1343283582089</v>
      </c>
      <c r="AS54" s="16">
        <v>11</v>
      </c>
      <c r="AT54" s="16">
        <v>3140</v>
      </c>
      <c r="AU54" s="16">
        <v>1370</v>
      </c>
      <c r="AV54" s="16">
        <v>1753</v>
      </c>
      <c r="AW54" s="16">
        <v>17</v>
      </c>
      <c r="AX54" s="16">
        <v>3069</v>
      </c>
      <c r="AY54" s="16">
        <v>13</v>
      </c>
      <c r="AZ54" s="16">
        <v>267738</v>
      </c>
      <c r="BA54" s="16">
        <v>87.610602094240832</v>
      </c>
    </row>
    <row r="55" spans="1:53" x14ac:dyDescent="0.35">
      <c r="A55" s="26" t="s">
        <v>79</v>
      </c>
      <c r="B55" s="16" t="s">
        <v>80</v>
      </c>
      <c r="C55" s="16" t="s">
        <v>251</v>
      </c>
      <c r="D55" s="16" t="s">
        <v>6</v>
      </c>
      <c r="E55" s="16" t="s">
        <v>239</v>
      </c>
      <c r="F55" s="16">
        <v>8</v>
      </c>
      <c r="G55" s="16">
        <v>393813550.9399997</v>
      </c>
      <c r="H55" s="16">
        <v>4235</v>
      </c>
      <c r="I55" s="16">
        <v>65708443.730000056</v>
      </c>
      <c r="J55" s="16">
        <v>0.16685165752463199</v>
      </c>
      <c r="K55" s="16">
        <v>49226693.867499962</v>
      </c>
      <c r="L55" s="16">
        <v>529.375</v>
      </c>
      <c r="M55" s="16">
        <v>92990.21273671776</v>
      </c>
      <c r="N55" s="16">
        <v>3007</v>
      </c>
      <c r="O55" s="16">
        <v>8</v>
      </c>
      <c r="P55" s="16">
        <v>393813550.9399997</v>
      </c>
      <c r="Q55" s="16">
        <v>65708443.730000056</v>
      </c>
      <c r="R55" s="16">
        <v>0.16685165752463199</v>
      </c>
      <c r="S55" s="16">
        <v>4235</v>
      </c>
      <c r="T55" s="16">
        <v>3007</v>
      </c>
      <c r="U55" s="16">
        <v>8</v>
      </c>
      <c r="V55" s="16">
        <v>86650179.590000004</v>
      </c>
      <c r="W55" s="16">
        <v>1402</v>
      </c>
      <c r="X55" s="16">
        <v>0.22002843574877839</v>
      </c>
      <c r="Y55" s="16">
        <v>0.77997156425122161</v>
      </c>
      <c r="Z55" s="16">
        <v>9844437.3900000006</v>
      </c>
      <c r="AA55" s="16">
        <v>0.11361127509003011</v>
      </c>
      <c r="AB55" s="16">
        <v>1162</v>
      </c>
      <c r="AC55" s="16">
        <v>4273</v>
      </c>
      <c r="AD55" s="16">
        <v>2907</v>
      </c>
      <c r="AE55" s="16">
        <v>1347</v>
      </c>
      <c r="AF55" s="16">
        <v>19</v>
      </c>
      <c r="AG55" s="16">
        <v>4215</v>
      </c>
      <c r="AH55" s="16">
        <v>2852</v>
      </c>
      <c r="AI55" s="16">
        <v>1346</v>
      </c>
      <c r="AJ55" s="16">
        <v>17</v>
      </c>
      <c r="AK55" s="16">
        <v>270103</v>
      </c>
      <c r="AL55" s="16">
        <v>64.340876607908527</v>
      </c>
      <c r="AM55" s="16">
        <v>58</v>
      </c>
      <c r="AN55" s="16">
        <v>55</v>
      </c>
      <c r="AO55" s="16">
        <v>1</v>
      </c>
      <c r="AP55" s="16">
        <v>2</v>
      </c>
      <c r="AQ55" s="16">
        <v>184543</v>
      </c>
      <c r="AR55" s="16">
        <v>3295.4107142857142</v>
      </c>
      <c r="AS55" s="16">
        <v>15</v>
      </c>
      <c r="AT55" s="16">
        <v>4258</v>
      </c>
      <c r="AU55" s="16">
        <v>2905</v>
      </c>
      <c r="AV55" s="16">
        <v>1334</v>
      </c>
      <c r="AW55" s="16">
        <v>19</v>
      </c>
      <c r="AX55" s="16">
        <v>4200</v>
      </c>
      <c r="AY55" s="16">
        <v>17</v>
      </c>
      <c r="AZ55" s="16">
        <v>267199</v>
      </c>
      <c r="BA55" s="16">
        <v>63.877360745876167</v>
      </c>
    </row>
    <row r="56" spans="1:53" x14ac:dyDescent="0.35">
      <c r="A56" s="26" t="s">
        <v>4</v>
      </c>
      <c r="B56" s="16" t="s">
        <v>5</v>
      </c>
      <c r="C56" s="16" t="s">
        <v>251</v>
      </c>
      <c r="D56" s="16" t="s">
        <v>6</v>
      </c>
      <c r="E56" s="16" t="s">
        <v>239</v>
      </c>
      <c r="F56" s="16">
        <v>8</v>
      </c>
      <c r="G56" s="16">
        <v>216320065.07999989</v>
      </c>
      <c r="H56" s="16">
        <v>1900</v>
      </c>
      <c r="I56" s="16">
        <v>42181661.899999984</v>
      </c>
      <c r="J56" s="16">
        <v>0.1949965292604747</v>
      </c>
      <c r="K56" s="16">
        <v>27040008.13499999</v>
      </c>
      <c r="L56" s="16">
        <v>237.5</v>
      </c>
      <c r="M56" s="16">
        <v>113852.6658315789</v>
      </c>
      <c r="N56" s="16">
        <v>1428</v>
      </c>
      <c r="O56" s="16">
        <v>8</v>
      </c>
      <c r="P56" s="16">
        <v>216320065.07999989</v>
      </c>
      <c r="Q56" s="16">
        <v>42181661.899999984</v>
      </c>
      <c r="R56" s="16">
        <v>0.1949965292604747</v>
      </c>
      <c r="S56" s="16">
        <v>1900</v>
      </c>
      <c r="T56" s="16">
        <v>1428</v>
      </c>
      <c r="U56" s="16">
        <v>8</v>
      </c>
      <c r="V56" s="16">
        <v>6566036.0799999982</v>
      </c>
      <c r="W56" s="16">
        <v>101</v>
      </c>
      <c r="X56" s="16">
        <v>3.0353338131493879E-2</v>
      </c>
      <c r="Y56" s="16">
        <v>0.96964666186850612</v>
      </c>
      <c r="Z56" s="16">
        <v>858596.85999999987</v>
      </c>
      <c r="AA56" s="16">
        <v>0.13076334786146959</v>
      </c>
      <c r="AB56" s="16">
        <v>99</v>
      </c>
      <c r="AC56" s="16">
        <v>1914</v>
      </c>
      <c r="AD56" s="16">
        <v>1218</v>
      </c>
      <c r="AE56" s="16">
        <v>678</v>
      </c>
      <c r="AF56" s="16">
        <v>18</v>
      </c>
      <c r="AG56" s="16">
        <v>1910</v>
      </c>
      <c r="AH56" s="16">
        <v>1218</v>
      </c>
      <c r="AI56" s="16">
        <v>678</v>
      </c>
      <c r="AJ56" s="16">
        <v>14</v>
      </c>
      <c r="AK56" s="16">
        <v>121423</v>
      </c>
      <c r="AL56" s="16">
        <v>64.041666666666671</v>
      </c>
      <c r="AM56" s="16">
        <v>0</v>
      </c>
      <c r="AN56" s="16">
        <v>0</v>
      </c>
      <c r="AO56" s="16">
        <v>0</v>
      </c>
      <c r="AP56" s="16">
        <v>0</v>
      </c>
      <c r="AQ56" s="16"/>
      <c r="AR56" s="16"/>
      <c r="AS56" s="16">
        <v>6</v>
      </c>
      <c r="AT56" s="16">
        <v>1908</v>
      </c>
      <c r="AU56" s="16">
        <v>1216</v>
      </c>
      <c r="AV56" s="16">
        <v>677</v>
      </c>
      <c r="AW56" s="16">
        <v>15</v>
      </c>
      <c r="AX56" s="16">
        <v>1905</v>
      </c>
      <c r="AY56" s="16">
        <v>12</v>
      </c>
      <c r="AZ56" s="16">
        <v>121249</v>
      </c>
      <c r="BA56" s="16">
        <v>64.051241415742211</v>
      </c>
    </row>
    <row r="57" spans="1:53" x14ac:dyDescent="0.35">
      <c r="A57" s="26" t="s">
        <v>113</v>
      </c>
      <c r="B57" s="16" t="s">
        <v>114</v>
      </c>
      <c r="C57" s="16" t="s">
        <v>251</v>
      </c>
      <c r="D57" s="16" t="s">
        <v>6</v>
      </c>
      <c r="E57" s="16" t="s">
        <v>239</v>
      </c>
      <c r="F57" s="16">
        <v>8</v>
      </c>
      <c r="G57" s="16">
        <v>331246522.25999987</v>
      </c>
      <c r="H57" s="16">
        <v>3162</v>
      </c>
      <c r="I57" s="16">
        <v>52281955.329999991</v>
      </c>
      <c r="J57" s="16">
        <v>0.1578339750506518</v>
      </c>
      <c r="K57" s="16">
        <v>41405815.282499976</v>
      </c>
      <c r="L57" s="16">
        <v>395.25</v>
      </c>
      <c r="M57" s="16">
        <v>104758.54593927891</v>
      </c>
      <c r="N57" s="16">
        <v>2123</v>
      </c>
      <c r="O57" s="16">
        <v>8</v>
      </c>
      <c r="P57" s="16">
        <v>331246522.25999987</v>
      </c>
      <c r="Q57" s="16">
        <v>52281955.329999991</v>
      </c>
      <c r="R57" s="16">
        <v>0.1578339750506518</v>
      </c>
      <c r="S57" s="16">
        <v>3162</v>
      </c>
      <c r="T57" s="16">
        <v>2123</v>
      </c>
      <c r="U57" s="16">
        <v>8</v>
      </c>
      <c r="V57" s="16">
        <v>76376086.690000013</v>
      </c>
      <c r="W57" s="16">
        <v>1114</v>
      </c>
      <c r="X57" s="16">
        <v>0.23057173904470879</v>
      </c>
      <c r="Y57" s="16">
        <v>0.76942826095529115</v>
      </c>
      <c r="Z57" s="16">
        <v>8807558.9500000011</v>
      </c>
      <c r="AA57" s="16">
        <v>0.1153182799970973</v>
      </c>
      <c r="AB57" s="16">
        <v>880</v>
      </c>
      <c r="AC57" s="16">
        <v>3206</v>
      </c>
      <c r="AD57" s="16">
        <v>2876</v>
      </c>
      <c r="AE57" s="16">
        <v>309</v>
      </c>
      <c r="AF57" s="16">
        <v>21</v>
      </c>
      <c r="AG57" s="16">
        <v>3145</v>
      </c>
      <c r="AH57" s="16">
        <v>2830</v>
      </c>
      <c r="AI57" s="16">
        <v>309</v>
      </c>
      <c r="AJ57" s="16">
        <v>6</v>
      </c>
      <c r="AK57" s="16">
        <v>148197</v>
      </c>
      <c r="AL57" s="16">
        <v>47.211532335138578</v>
      </c>
      <c r="AM57" s="16">
        <v>60</v>
      </c>
      <c r="AN57" s="16">
        <v>46</v>
      </c>
      <c r="AO57" s="16">
        <v>0</v>
      </c>
      <c r="AP57" s="16">
        <v>14</v>
      </c>
      <c r="AQ57" s="16">
        <v>90027</v>
      </c>
      <c r="AR57" s="16">
        <v>1957.108695652174</v>
      </c>
      <c r="AS57" s="16">
        <v>17</v>
      </c>
      <c r="AT57" s="16">
        <v>3189</v>
      </c>
      <c r="AU57" s="16">
        <v>2870</v>
      </c>
      <c r="AV57" s="16">
        <v>298</v>
      </c>
      <c r="AW57" s="16">
        <v>21</v>
      </c>
      <c r="AX57" s="16">
        <v>3128</v>
      </c>
      <c r="AY57" s="16">
        <v>6</v>
      </c>
      <c r="AZ57" s="16">
        <v>146928</v>
      </c>
      <c r="BA57" s="16">
        <v>47.062139654067913</v>
      </c>
    </row>
    <row r="58" spans="1:53" x14ac:dyDescent="0.35">
      <c r="A58" s="26" t="s">
        <v>103</v>
      </c>
      <c r="B58" s="16" t="s">
        <v>104</v>
      </c>
      <c r="C58" s="16" t="s">
        <v>251</v>
      </c>
      <c r="D58" s="16" t="s">
        <v>6</v>
      </c>
      <c r="E58" s="16" t="s">
        <v>239</v>
      </c>
      <c r="F58" s="16">
        <v>8</v>
      </c>
      <c r="G58" s="16">
        <v>542997371.16999984</v>
      </c>
      <c r="H58" s="16">
        <v>6115</v>
      </c>
      <c r="I58" s="16">
        <v>92594231.07999976</v>
      </c>
      <c r="J58" s="16">
        <v>0.1705242713799634</v>
      </c>
      <c r="K58" s="16">
        <v>67874671.39624998</v>
      </c>
      <c r="L58" s="16">
        <v>764.375</v>
      </c>
      <c r="M58" s="16">
        <v>88797.607713818448</v>
      </c>
      <c r="N58" s="16">
        <v>4366</v>
      </c>
      <c r="O58" s="16">
        <v>8</v>
      </c>
      <c r="P58" s="16">
        <v>542997371.16999984</v>
      </c>
      <c r="Q58" s="16">
        <v>92594231.07999976</v>
      </c>
      <c r="R58" s="16">
        <v>0.1705242713799634</v>
      </c>
      <c r="S58" s="16">
        <v>6115</v>
      </c>
      <c r="T58" s="16">
        <v>4366</v>
      </c>
      <c r="U58" s="16">
        <v>8</v>
      </c>
      <c r="V58" s="16">
        <v>127432123.95999999</v>
      </c>
      <c r="W58" s="16">
        <v>1931</v>
      </c>
      <c r="X58" s="16">
        <v>0.23468276409040659</v>
      </c>
      <c r="Y58" s="16">
        <v>0.76531723590959344</v>
      </c>
      <c r="Z58" s="16">
        <v>15203234.310000001</v>
      </c>
      <c r="AA58" s="16">
        <v>0.1193045665217994</v>
      </c>
      <c r="AB58" s="16">
        <v>1603</v>
      </c>
      <c r="AC58" s="16">
        <v>6184</v>
      </c>
      <c r="AD58" s="16">
        <v>4745</v>
      </c>
      <c r="AE58" s="16">
        <v>1411</v>
      </c>
      <c r="AF58" s="16">
        <v>28</v>
      </c>
      <c r="AG58" s="16">
        <v>6083</v>
      </c>
      <c r="AH58" s="16">
        <v>4649</v>
      </c>
      <c r="AI58" s="16">
        <v>1411</v>
      </c>
      <c r="AJ58" s="16">
        <v>23</v>
      </c>
      <c r="AK58" s="16">
        <v>325208</v>
      </c>
      <c r="AL58" s="16">
        <v>53.664686468646863</v>
      </c>
      <c r="AM58" s="16">
        <v>97</v>
      </c>
      <c r="AN58" s="16">
        <v>96</v>
      </c>
      <c r="AO58" s="16">
        <v>0</v>
      </c>
      <c r="AP58" s="16">
        <v>1</v>
      </c>
      <c r="AQ58" s="16">
        <v>174340</v>
      </c>
      <c r="AR58" s="16">
        <v>1816.041666666667</v>
      </c>
      <c r="AS58" s="16">
        <v>24</v>
      </c>
      <c r="AT58" s="16">
        <v>6160</v>
      </c>
      <c r="AU58" s="16">
        <v>4738</v>
      </c>
      <c r="AV58" s="16">
        <v>1399</v>
      </c>
      <c r="AW58" s="16">
        <v>23</v>
      </c>
      <c r="AX58" s="16">
        <v>6062</v>
      </c>
      <c r="AY58" s="16">
        <v>19</v>
      </c>
      <c r="AZ58" s="16">
        <v>323722</v>
      </c>
      <c r="BA58" s="16">
        <v>53.569750124110541</v>
      </c>
    </row>
    <row r="59" spans="1:53" x14ac:dyDescent="0.35">
      <c r="A59" s="26" t="s">
        <v>61</v>
      </c>
      <c r="B59" s="16" t="s">
        <v>62</v>
      </c>
      <c r="C59" s="16" t="s">
        <v>251</v>
      </c>
      <c r="D59" s="16" t="s">
        <v>6</v>
      </c>
      <c r="E59" s="16" t="s">
        <v>239</v>
      </c>
      <c r="F59" s="16">
        <v>8</v>
      </c>
      <c r="G59" s="16">
        <v>654362103.63999939</v>
      </c>
      <c r="H59" s="16">
        <v>7764</v>
      </c>
      <c r="I59" s="16">
        <v>116230075.08999939</v>
      </c>
      <c r="J59" s="16">
        <v>0.1776234816219491</v>
      </c>
      <c r="K59" s="16">
        <v>81795262.954999924</v>
      </c>
      <c r="L59" s="16">
        <v>970.5</v>
      </c>
      <c r="M59" s="16">
        <v>84281.56924781033</v>
      </c>
      <c r="N59" s="16">
        <v>5770</v>
      </c>
      <c r="O59" s="16">
        <v>8</v>
      </c>
      <c r="P59" s="16">
        <v>654362103.63999939</v>
      </c>
      <c r="Q59" s="16">
        <v>116230075.08999939</v>
      </c>
      <c r="R59" s="16">
        <v>0.1776234816219491</v>
      </c>
      <c r="S59" s="16">
        <v>7764</v>
      </c>
      <c r="T59" s="16">
        <v>5770</v>
      </c>
      <c r="U59" s="16">
        <v>8</v>
      </c>
      <c r="V59" s="16">
        <v>130463631.69</v>
      </c>
      <c r="W59" s="16">
        <v>2231</v>
      </c>
      <c r="X59" s="16">
        <v>0.19937528619746481</v>
      </c>
      <c r="Y59" s="16">
        <v>0.80062471380253519</v>
      </c>
      <c r="Z59" s="16">
        <v>15411493.18</v>
      </c>
      <c r="AA59" s="16">
        <v>0.11812865378927891</v>
      </c>
      <c r="AB59" s="16">
        <v>1922</v>
      </c>
      <c r="AC59" s="16">
        <v>7819</v>
      </c>
      <c r="AD59" s="16">
        <v>6161</v>
      </c>
      <c r="AE59" s="16">
        <v>1631</v>
      </c>
      <c r="AF59" s="16">
        <v>27</v>
      </c>
      <c r="AG59" s="16">
        <v>7754</v>
      </c>
      <c r="AH59" s="16">
        <v>6097</v>
      </c>
      <c r="AI59" s="16">
        <v>1631</v>
      </c>
      <c r="AJ59" s="16">
        <v>26</v>
      </c>
      <c r="AK59" s="16">
        <v>420656</v>
      </c>
      <c r="AL59" s="16">
        <v>54.432712215320912</v>
      </c>
      <c r="AM59" s="16">
        <v>64</v>
      </c>
      <c r="AN59" s="16">
        <v>64</v>
      </c>
      <c r="AO59" s="16">
        <v>0</v>
      </c>
      <c r="AP59" s="16">
        <v>0</v>
      </c>
      <c r="AQ59" s="16">
        <v>108557</v>
      </c>
      <c r="AR59" s="16">
        <v>1696.203125</v>
      </c>
      <c r="AS59" s="16">
        <v>14</v>
      </c>
      <c r="AT59" s="16">
        <v>7805</v>
      </c>
      <c r="AU59" s="16">
        <v>6158</v>
      </c>
      <c r="AV59" s="16">
        <v>1621</v>
      </c>
      <c r="AW59" s="16">
        <v>26</v>
      </c>
      <c r="AX59" s="16">
        <v>7741</v>
      </c>
      <c r="AY59" s="16">
        <v>25</v>
      </c>
      <c r="AZ59" s="16">
        <v>418825</v>
      </c>
      <c r="BA59" s="16">
        <v>54.280067392431313</v>
      </c>
    </row>
    <row r="60" spans="1:53" x14ac:dyDescent="0.35">
      <c r="A60" s="26" t="s">
        <v>111</v>
      </c>
      <c r="B60" s="16" t="s">
        <v>112</v>
      </c>
      <c r="C60" s="16" t="s">
        <v>251</v>
      </c>
      <c r="D60" s="16" t="s">
        <v>6</v>
      </c>
      <c r="E60" s="16" t="s">
        <v>239</v>
      </c>
      <c r="F60" s="16">
        <v>8</v>
      </c>
      <c r="G60" s="16">
        <v>401445369.21999937</v>
      </c>
      <c r="H60" s="16">
        <v>4519</v>
      </c>
      <c r="I60" s="16">
        <v>69413939.329999983</v>
      </c>
      <c r="J60" s="16">
        <v>0.17291005116055999</v>
      </c>
      <c r="K60" s="16">
        <v>50180671.152499929</v>
      </c>
      <c r="L60" s="16">
        <v>564.875</v>
      </c>
      <c r="M60" s="16">
        <v>88835.000933834788</v>
      </c>
      <c r="N60" s="16">
        <v>3364</v>
      </c>
      <c r="O60" s="16">
        <v>8</v>
      </c>
      <c r="P60" s="16">
        <v>401445369.21999937</v>
      </c>
      <c r="Q60" s="16">
        <v>69413939.329999983</v>
      </c>
      <c r="R60" s="16">
        <v>0.17291005116055999</v>
      </c>
      <c r="S60" s="16">
        <v>4519</v>
      </c>
      <c r="T60" s="16">
        <v>3364</v>
      </c>
      <c r="U60" s="16">
        <v>8</v>
      </c>
      <c r="V60" s="16">
        <v>83442114.730000019</v>
      </c>
      <c r="W60" s="16">
        <v>1431</v>
      </c>
      <c r="X60" s="16">
        <v>0.2078542215896684</v>
      </c>
      <c r="Y60" s="16">
        <v>0.79214577841033162</v>
      </c>
      <c r="Z60" s="16">
        <v>9756174.6599999983</v>
      </c>
      <c r="AA60" s="16">
        <v>0.1169214693511639</v>
      </c>
      <c r="AB60" s="16">
        <v>1205</v>
      </c>
      <c r="AC60" s="16">
        <v>4567</v>
      </c>
      <c r="AD60" s="16">
        <v>3684</v>
      </c>
      <c r="AE60" s="16">
        <v>858</v>
      </c>
      <c r="AF60" s="16">
        <v>25</v>
      </c>
      <c r="AG60" s="16">
        <v>4497</v>
      </c>
      <c r="AH60" s="16">
        <v>3617</v>
      </c>
      <c r="AI60" s="16">
        <v>858</v>
      </c>
      <c r="AJ60" s="16">
        <v>22</v>
      </c>
      <c r="AK60" s="16">
        <v>233475</v>
      </c>
      <c r="AL60" s="16">
        <v>52.173184357541899</v>
      </c>
      <c r="AM60" s="16">
        <v>69</v>
      </c>
      <c r="AN60" s="16">
        <v>67</v>
      </c>
      <c r="AO60" s="16">
        <v>0</v>
      </c>
      <c r="AP60" s="16">
        <v>2</v>
      </c>
      <c r="AQ60" s="16">
        <v>143815</v>
      </c>
      <c r="AR60" s="16">
        <v>2146.4925373134329</v>
      </c>
      <c r="AS60" s="16">
        <v>20</v>
      </c>
      <c r="AT60" s="16">
        <v>4547</v>
      </c>
      <c r="AU60" s="16">
        <v>3677</v>
      </c>
      <c r="AV60" s="16">
        <v>848</v>
      </c>
      <c r="AW60" s="16">
        <v>22</v>
      </c>
      <c r="AX60" s="16">
        <v>4477</v>
      </c>
      <c r="AY60" s="16">
        <v>19</v>
      </c>
      <c r="AZ60" s="16">
        <v>231360</v>
      </c>
      <c r="BA60" s="16">
        <v>51.897711978465679</v>
      </c>
    </row>
    <row r="61" spans="1:53" x14ac:dyDescent="0.35">
      <c r="A61" s="26" t="s">
        <v>130</v>
      </c>
      <c r="B61" s="16" t="s">
        <v>131</v>
      </c>
      <c r="C61" s="16" t="s">
        <v>251</v>
      </c>
      <c r="D61" s="16" t="s">
        <v>6</v>
      </c>
      <c r="E61" s="16" t="s">
        <v>239</v>
      </c>
      <c r="F61" s="16">
        <v>8</v>
      </c>
      <c r="G61" s="16">
        <v>470808352.11000001</v>
      </c>
      <c r="H61" s="16">
        <v>4441</v>
      </c>
      <c r="I61" s="16">
        <v>73777131.360000074</v>
      </c>
      <c r="J61" s="16">
        <v>0.15670310653869349</v>
      </c>
      <c r="K61" s="16">
        <v>58851044.013750002</v>
      </c>
      <c r="L61" s="16">
        <v>555.125</v>
      </c>
      <c r="M61" s="16">
        <v>106014.040105832</v>
      </c>
      <c r="N61" s="16">
        <v>3154</v>
      </c>
      <c r="O61" s="16">
        <v>8</v>
      </c>
      <c r="P61" s="16">
        <v>470808352.11000001</v>
      </c>
      <c r="Q61" s="16">
        <v>73777131.360000074</v>
      </c>
      <c r="R61" s="16">
        <v>0.15670310653869349</v>
      </c>
      <c r="S61" s="16">
        <v>4441</v>
      </c>
      <c r="T61" s="16">
        <v>3154</v>
      </c>
      <c r="U61" s="16">
        <v>8</v>
      </c>
      <c r="V61" s="16">
        <v>102491504.23999999</v>
      </c>
      <c r="W61" s="16">
        <v>1442</v>
      </c>
      <c r="X61" s="16">
        <v>0.2176926211709469</v>
      </c>
      <c r="Y61" s="16">
        <v>0.7823073788290531</v>
      </c>
      <c r="Z61" s="16">
        <v>11489351.48</v>
      </c>
      <c r="AA61" s="16">
        <v>0.1121005254552209</v>
      </c>
      <c r="AB61" s="16">
        <v>1198</v>
      </c>
      <c r="AC61" s="16">
        <v>4500</v>
      </c>
      <c r="AD61" s="16">
        <v>3696</v>
      </c>
      <c r="AE61" s="16">
        <v>783</v>
      </c>
      <c r="AF61" s="16">
        <v>21</v>
      </c>
      <c r="AG61" s="16">
        <v>4378</v>
      </c>
      <c r="AH61" s="16">
        <v>3576</v>
      </c>
      <c r="AI61" s="16">
        <v>783</v>
      </c>
      <c r="AJ61" s="16">
        <v>19</v>
      </c>
      <c r="AK61" s="16">
        <v>233355</v>
      </c>
      <c r="AL61" s="16">
        <v>53.534067446662078</v>
      </c>
      <c r="AM61" s="16">
        <v>120</v>
      </c>
      <c r="AN61" s="16">
        <v>120</v>
      </c>
      <c r="AO61" s="16">
        <v>0</v>
      </c>
      <c r="AP61" s="16">
        <v>0</v>
      </c>
      <c r="AQ61" s="16">
        <v>213857</v>
      </c>
      <c r="AR61" s="16">
        <v>1782.1416666666671</v>
      </c>
      <c r="AS61" s="16">
        <v>17</v>
      </c>
      <c r="AT61" s="16">
        <v>4483</v>
      </c>
      <c r="AU61" s="16">
        <v>3690</v>
      </c>
      <c r="AV61" s="16">
        <v>774</v>
      </c>
      <c r="AW61" s="16">
        <v>19</v>
      </c>
      <c r="AX61" s="16">
        <v>4362</v>
      </c>
      <c r="AY61" s="16">
        <v>17</v>
      </c>
      <c r="AZ61" s="16">
        <v>232008</v>
      </c>
      <c r="BA61" s="16">
        <v>53.396547756041429</v>
      </c>
    </row>
    <row r="62" spans="1:53" x14ac:dyDescent="0.35">
      <c r="A62" s="26" t="s">
        <v>253</v>
      </c>
      <c r="B62" s="16" t="s">
        <v>254</v>
      </c>
      <c r="C62" s="16" t="s">
        <v>251</v>
      </c>
      <c r="D62" s="16" t="s">
        <v>6</v>
      </c>
      <c r="E62" s="16" t="s">
        <v>239</v>
      </c>
      <c r="F62" s="16">
        <v>8</v>
      </c>
      <c r="G62" s="16">
        <v>347207961.98999977</v>
      </c>
      <c r="H62" s="16">
        <v>3915</v>
      </c>
      <c r="I62" s="16">
        <v>60552257.880000152</v>
      </c>
      <c r="J62" s="16">
        <v>0.1743976651138667</v>
      </c>
      <c r="K62" s="16">
        <v>43400995.248749979</v>
      </c>
      <c r="L62" s="16">
        <v>489.375</v>
      </c>
      <c r="M62" s="16">
        <v>88686.58032950187</v>
      </c>
      <c r="N62" s="16">
        <v>2921</v>
      </c>
      <c r="O62" s="16">
        <v>8</v>
      </c>
      <c r="P62" s="16">
        <v>347207961.98999977</v>
      </c>
      <c r="Q62" s="16">
        <v>60552257.880000152</v>
      </c>
      <c r="R62" s="16">
        <v>0.1743976651138667</v>
      </c>
      <c r="S62" s="16">
        <v>3915</v>
      </c>
      <c r="T62" s="16">
        <v>2921</v>
      </c>
      <c r="U62" s="16">
        <v>8</v>
      </c>
      <c r="V62" s="16">
        <v>77129197.999999985</v>
      </c>
      <c r="W62" s="16">
        <v>1173</v>
      </c>
      <c r="X62" s="16">
        <v>0.22214121346163551</v>
      </c>
      <c r="Y62" s="16">
        <v>0.77785878653836449</v>
      </c>
      <c r="Z62" s="16">
        <v>8784718.3500000015</v>
      </c>
      <c r="AA62" s="16">
        <v>0.1138961454000857</v>
      </c>
      <c r="AB62" s="16">
        <v>990</v>
      </c>
      <c r="AC62" s="16">
        <v>4005</v>
      </c>
      <c r="AD62" s="16">
        <v>2517</v>
      </c>
      <c r="AE62" s="16">
        <v>1476</v>
      </c>
      <c r="AF62" s="16">
        <v>12</v>
      </c>
      <c r="AG62" s="16">
        <v>3772</v>
      </c>
      <c r="AH62" s="16">
        <v>2292</v>
      </c>
      <c r="AI62" s="16">
        <v>1471</v>
      </c>
      <c r="AJ62" s="16">
        <v>9</v>
      </c>
      <c r="AK62" s="16">
        <v>246587</v>
      </c>
      <c r="AL62" s="16">
        <v>65.529364868456014</v>
      </c>
      <c r="AM62" s="16">
        <v>232</v>
      </c>
      <c r="AN62" s="16">
        <v>225</v>
      </c>
      <c r="AO62" s="16">
        <v>5</v>
      </c>
      <c r="AP62" s="16">
        <v>2</v>
      </c>
      <c r="AQ62" s="16">
        <v>686721</v>
      </c>
      <c r="AR62" s="16">
        <v>2985.7434782608698</v>
      </c>
      <c r="AS62" s="16">
        <v>2</v>
      </c>
      <c r="AT62" s="16">
        <v>4003</v>
      </c>
      <c r="AU62" s="16">
        <v>2515</v>
      </c>
      <c r="AV62" s="16">
        <v>1476</v>
      </c>
      <c r="AW62" s="16">
        <v>12</v>
      </c>
      <c r="AX62" s="16">
        <v>3771</v>
      </c>
      <c r="AY62" s="16">
        <v>9</v>
      </c>
      <c r="AZ62" s="16">
        <v>246530</v>
      </c>
      <c r="BA62" s="16">
        <v>65.53163211057948</v>
      </c>
    </row>
    <row r="63" spans="1:53" x14ac:dyDescent="0.35">
      <c r="A63" s="26" t="s">
        <v>7</v>
      </c>
      <c r="B63" s="16" t="s">
        <v>8</v>
      </c>
      <c r="C63" s="16" t="s">
        <v>252</v>
      </c>
      <c r="D63" s="16" t="s">
        <v>9</v>
      </c>
      <c r="E63" s="16" t="s">
        <v>239</v>
      </c>
      <c r="F63" s="16">
        <v>8</v>
      </c>
      <c r="G63" s="16">
        <v>321843773.30999929</v>
      </c>
      <c r="H63" s="16">
        <v>2921</v>
      </c>
      <c r="I63" s="16">
        <v>50112981.090000071</v>
      </c>
      <c r="J63" s="16">
        <v>0.1557059208404549</v>
      </c>
      <c r="K63" s="16">
        <v>40230471.663749911</v>
      </c>
      <c r="L63" s="16">
        <v>365.125</v>
      </c>
      <c r="M63" s="16">
        <v>110182.7364977745</v>
      </c>
      <c r="N63" s="16">
        <v>2312</v>
      </c>
      <c r="O63" s="16">
        <v>8</v>
      </c>
      <c r="P63" s="16">
        <v>321843773.30999929</v>
      </c>
      <c r="Q63" s="16">
        <v>50112981.090000071</v>
      </c>
      <c r="R63" s="16">
        <v>0.1557059208404549</v>
      </c>
      <c r="S63" s="16">
        <v>2921</v>
      </c>
      <c r="T63" s="16">
        <v>2312</v>
      </c>
      <c r="U63" s="16">
        <v>8</v>
      </c>
      <c r="V63" s="16">
        <v>62069597.840000004</v>
      </c>
      <c r="W63" s="16">
        <v>843</v>
      </c>
      <c r="X63" s="16">
        <v>0.19285629546797131</v>
      </c>
      <c r="Y63" s="16">
        <v>0.80714370453202866</v>
      </c>
      <c r="Z63" s="16">
        <v>6099281.669999999</v>
      </c>
      <c r="AA63" s="16">
        <v>9.8265203614214355E-2</v>
      </c>
      <c r="AB63" s="16">
        <v>745</v>
      </c>
      <c r="AC63" s="16">
        <v>3014</v>
      </c>
      <c r="AD63" s="16">
        <v>1210</v>
      </c>
      <c r="AE63" s="16">
        <v>1727</v>
      </c>
      <c r="AF63" s="16">
        <v>77</v>
      </c>
      <c r="AG63" s="16">
        <v>2924</v>
      </c>
      <c r="AH63" s="16">
        <v>1142</v>
      </c>
      <c r="AI63" s="16">
        <v>1712</v>
      </c>
      <c r="AJ63" s="16">
        <v>70</v>
      </c>
      <c r="AK63" s="16">
        <v>302574</v>
      </c>
      <c r="AL63" s="16">
        <v>106.0175192711983</v>
      </c>
      <c r="AM63" s="16">
        <v>85</v>
      </c>
      <c r="AN63" s="16">
        <v>68</v>
      </c>
      <c r="AO63" s="16">
        <v>15</v>
      </c>
      <c r="AP63" s="16">
        <v>2</v>
      </c>
      <c r="AQ63" s="16">
        <v>308915</v>
      </c>
      <c r="AR63" s="16">
        <v>3721.867469879518</v>
      </c>
      <c r="AS63" s="16">
        <v>48</v>
      </c>
      <c r="AT63" s="16">
        <v>2966</v>
      </c>
      <c r="AU63" s="16">
        <v>1192</v>
      </c>
      <c r="AV63" s="16">
        <v>1701</v>
      </c>
      <c r="AW63" s="16">
        <v>73</v>
      </c>
      <c r="AX63" s="16">
        <v>2879</v>
      </c>
      <c r="AY63" s="16">
        <v>67</v>
      </c>
      <c r="AZ63" s="16">
        <v>295387</v>
      </c>
      <c r="BA63" s="16">
        <v>105.04516358463729</v>
      </c>
    </row>
    <row r="64" spans="1:53" x14ac:dyDescent="0.35">
      <c r="A64" s="21" t="s">
        <v>24</v>
      </c>
      <c r="B64" s="38" t="s">
        <v>25</v>
      </c>
      <c r="C64" s="38" t="s">
        <v>252</v>
      </c>
      <c r="D64" s="38" t="s">
        <v>9</v>
      </c>
      <c r="E64" s="38" t="s">
        <v>239</v>
      </c>
      <c r="F64" s="38">
        <v>8</v>
      </c>
      <c r="G64" s="38">
        <v>337664193.87999952</v>
      </c>
      <c r="H64" s="38">
        <v>3066</v>
      </c>
      <c r="I64" s="38">
        <v>51413837.330000013</v>
      </c>
      <c r="J64" s="38">
        <v>0.1522632196775702</v>
      </c>
      <c r="K64" s="38">
        <v>42208024.234999932</v>
      </c>
      <c r="L64" s="38">
        <v>383.25</v>
      </c>
      <c r="M64" s="38">
        <v>110131.83101108921</v>
      </c>
      <c r="N64" s="38">
        <v>2261</v>
      </c>
      <c r="O64" s="38">
        <v>8</v>
      </c>
      <c r="P64" s="38">
        <v>337664193.87999952</v>
      </c>
      <c r="Q64" s="38">
        <v>51413837.330000013</v>
      </c>
      <c r="R64" s="38">
        <v>0.1522632196775702</v>
      </c>
      <c r="S64" s="38">
        <v>3066</v>
      </c>
      <c r="T64" s="38">
        <v>2261</v>
      </c>
      <c r="U64" s="38">
        <v>8</v>
      </c>
      <c r="V64" s="38">
        <v>100383651.76000001</v>
      </c>
      <c r="W64" s="38">
        <v>940</v>
      </c>
      <c r="X64" s="38">
        <v>0.29728841132523159</v>
      </c>
      <c r="Y64" s="38">
        <v>0.70271158867476835</v>
      </c>
      <c r="Z64" s="38">
        <v>9142374.0399999972</v>
      </c>
      <c r="AA64" s="38">
        <v>9.1074332121906021E-2</v>
      </c>
      <c r="AB64" s="38">
        <v>732</v>
      </c>
      <c r="AC64" s="38">
        <v>3127</v>
      </c>
      <c r="AD64" s="38">
        <v>1949</v>
      </c>
      <c r="AE64" s="38">
        <v>1145</v>
      </c>
      <c r="AF64" s="38">
        <v>33</v>
      </c>
      <c r="AG64" s="38">
        <v>2959</v>
      </c>
      <c r="AH64" s="38">
        <v>1782</v>
      </c>
      <c r="AI64" s="38">
        <v>1145</v>
      </c>
      <c r="AJ64" s="38">
        <v>32</v>
      </c>
      <c r="AK64" s="38">
        <v>195103</v>
      </c>
      <c r="AL64" s="38">
        <v>66.656303382302696</v>
      </c>
      <c r="AM64" s="38">
        <v>167</v>
      </c>
      <c r="AN64" s="38">
        <v>167</v>
      </c>
      <c r="AO64" s="38">
        <v>0</v>
      </c>
      <c r="AP64" s="38">
        <v>0</v>
      </c>
      <c r="AQ64" s="38">
        <v>380172</v>
      </c>
      <c r="AR64" s="38">
        <v>2276.4790419161682</v>
      </c>
      <c r="AS64" s="38">
        <v>21</v>
      </c>
      <c r="AT64" s="38">
        <v>3106</v>
      </c>
      <c r="AU64" s="38">
        <v>1948</v>
      </c>
      <c r="AV64" s="38">
        <v>1131</v>
      </c>
      <c r="AW64" s="38">
        <v>27</v>
      </c>
      <c r="AX64" s="38">
        <v>2938</v>
      </c>
      <c r="AY64" s="38">
        <v>26</v>
      </c>
      <c r="AZ64" s="38">
        <v>192612</v>
      </c>
      <c r="BA64" s="38">
        <v>66.144230769230774</v>
      </c>
    </row>
    <row r="65" spans="1:53" x14ac:dyDescent="0.35">
      <c r="A65" s="21" t="s">
        <v>22</v>
      </c>
      <c r="B65" s="38" t="s">
        <v>23</v>
      </c>
      <c r="C65" s="38" t="s">
        <v>252</v>
      </c>
      <c r="D65" s="38" t="s">
        <v>9</v>
      </c>
      <c r="E65" s="38" t="s">
        <v>239</v>
      </c>
      <c r="F65" s="38">
        <v>8</v>
      </c>
      <c r="G65" s="38">
        <v>278708166.46999967</v>
      </c>
      <c r="H65" s="38">
        <v>2604</v>
      </c>
      <c r="I65" s="38">
        <v>44364623.790000007</v>
      </c>
      <c r="J65" s="38">
        <v>0.15917948997298381</v>
      </c>
      <c r="K65" s="38">
        <v>34838520.808749959</v>
      </c>
      <c r="L65" s="38">
        <v>325.5</v>
      </c>
      <c r="M65" s="38">
        <v>107030.7858947771</v>
      </c>
      <c r="N65" s="38">
        <v>1910</v>
      </c>
      <c r="O65" s="38">
        <v>8</v>
      </c>
      <c r="P65" s="38">
        <v>278708166.46999967</v>
      </c>
      <c r="Q65" s="38">
        <v>44364623.790000007</v>
      </c>
      <c r="R65" s="38">
        <v>0.15917948997298381</v>
      </c>
      <c r="S65" s="38">
        <v>2604</v>
      </c>
      <c r="T65" s="38">
        <v>1910</v>
      </c>
      <c r="U65" s="38">
        <v>8</v>
      </c>
      <c r="V65" s="38">
        <v>59015001.280000001</v>
      </c>
      <c r="W65" s="38">
        <v>805</v>
      </c>
      <c r="X65" s="38">
        <v>0.2117447867691111</v>
      </c>
      <c r="Y65" s="38">
        <v>0.78825521323088887</v>
      </c>
      <c r="Z65" s="38">
        <v>5533994.1100000022</v>
      </c>
      <c r="AA65" s="38">
        <v>9.3772667795831349E-2</v>
      </c>
      <c r="AB65" s="38">
        <v>674</v>
      </c>
      <c r="AC65" s="38">
        <v>2629</v>
      </c>
      <c r="AD65" s="38">
        <v>1221</v>
      </c>
      <c r="AE65" s="38">
        <v>1401</v>
      </c>
      <c r="AF65" s="38">
        <v>7</v>
      </c>
      <c r="AG65" s="38">
        <v>2593</v>
      </c>
      <c r="AH65" s="38">
        <v>1186</v>
      </c>
      <c r="AI65" s="38">
        <v>1401</v>
      </c>
      <c r="AJ65" s="38">
        <v>6</v>
      </c>
      <c r="AK65" s="38">
        <v>217823</v>
      </c>
      <c r="AL65" s="38">
        <v>84.199072284499422</v>
      </c>
      <c r="AM65" s="38">
        <v>36</v>
      </c>
      <c r="AN65" s="38">
        <v>35</v>
      </c>
      <c r="AO65" s="38">
        <v>0</v>
      </c>
      <c r="AP65" s="38">
        <v>1</v>
      </c>
      <c r="AQ65" s="38">
        <v>59757</v>
      </c>
      <c r="AR65" s="38">
        <v>1707.3428571428569</v>
      </c>
      <c r="AS65" s="38">
        <v>10</v>
      </c>
      <c r="AT65" s="38">
        <v>2619</v>
      </c>
      <c r="AU65" s="38">
        <v>1218</v>
      </c>
      <c r="AV65" s="38">
        <v>1395</v>
      </c>
      <c r="AW65" s="38">
        <v>6</v>
      </c>
      <c r="AX65" s="38">
        <v>2584</v>
      </c>
      <c r="AY65" s="38">
        <v>5</v>
      </c>
      <c r="AZ65" s="38">
        <v>216708</v>
      </c>
      <c r="BA65" s="38">
        <v>84.027917797595961</v>
      </c>
    </row>
    <row r="66" spans="1:53" x14ac:dyDescent="0.35">
      <c r="A66" s="21" t="s">
        <v>101</v>
      </c>
      <c r="B66" s="38" t="s">
        <v>102</v>
      </c>
      <c r="C66" s="38" t="s">
        <v>241</v>
      </c>
      <c r="D66" s="38" t="s">
        <v>45</v>
      </c>
      <c r="E66" s="38" t="s">
        <v>239</v>
      </c>
      <c r="F66" s="38">
        <v>8</v>
      </c>
      <c r="G66" s="38">
        <v>284485851.6099999</v>
      </c>
      <c r="H66" s="38">
        <v>2651</v>
      </c>
      <c r="I66" s="38">
        <v>50930741.469999999</v>
      </c>
      <c r="J66" s="38">
        <v>0.1790273266025921</v>
      </c>
      <c r="K66" s="38">
        <v>35560731.451249987</v>
      </c>
      <c r="L66" s="38">
        <v>331.375</v>
      </c>
      <c r="M66" s="38">
        <v>107312.6562089777</v>
      </c>
      <c r="N66" s="38">
        <v>1858</v>
      </c>
      <c r="O66" s="38">
        <v>8</v>
      </c>
      <c r="P66" s="38">
        <v>284485851.6099999</v>
      </c>
      <c r="Q66" s="38">
        <v>50930741.469999999</v>
      </c>
      <c r="R66" s="38">
        <v>0.1790273266025921</v>
      </c>
      <c r="S66" s="38">
        <v>2651</v>
      </c>
      <c r="T66" s="38">
        <v>1858</v>
      </c>
      <c r="U66" s="38">
        <v>8</v>
      </c>
      <c r="V66" s="38">
        <v>56744018.530000009</v>
      </c>
      <c r="W66" s="38">
        <v>890</v>
      </c>
      <c r="X66" s="38">
        <v>0.1994616540993753</v>
      </c>
      <c r="Y66" s="38">
        <v>0.80053834590062467</v>
      </c>
      <c r="Z66" s="38">
        <v>6847576.9400000004</v>
      </c>
      <c r="AA66" s="38">
        <v>0.12067486789607181</v>
      </c>
      <c r="AB66" s="38">
        <v>743</v>
      </c>
      <c r="AC66" s="38">
        <v>2695</v>
      </c>
      <c r="AD66" s="38">
        <v>1799</v>
      </c>
      <c r="AE66" s="38">
        <v>884</v>
      </c>
      <c r="AF66" s="38">
        <v>12</v>
      </c>
      <c r="AG66" s="38">
        <v>2643</v>
      </c>
      <c r="AH66" s="38">
        <v>1750</v>
      </c>
      <c r="AI66" s="38">
        <v>881</v>
      </c>
      <c r="AJ66" s="38">
        <v>12</v>
      </c>
      <c r="AK66" s="38">
        <v>170441</v>
      </c>
      <c r="AL66" s="38">
        <v>64.781832003040662</v>
      </c>
      <c r="AM66" s="38">
        <v>52</v>
      </c>
      <c r="AN66" s="38">
        <v>49</v>
      </c>
      <c r="AO66" s="38">
        <v>3</v>
      </c>
      <c r="AP66" s="38">
        <v>0</v>
      </c>
      <c r="AQ66" s="38">
        <v>110076</v>
      </c>
      <c r="AR66" s="38">
        <v>2116.8461538461538</v>
      </c>
      <c r="AS66" s="38">
        <v>112</v>
      </c>
      <c r="AT66" s="38">
        <v>2583</v>
      </c>
      <c r="AU66" s="38">
        <v>1790</v>
      </c>
      <c r="AV66" s="38">
        <v>783</v>
      </c>
      <c r="AW66" s="38">
        <v>10</v>
      </c>
      <c r="AX66" s="38">
        <v>2531</v>
      </c>
      <c r="AY66" s="38">
        <v>10</v>
      </c>
      <c r="AZ66" s="38">
        <v>157953</v>
      </c>
      <c r="BA66" s="38">
        <v>62.654898849662843</v>
      </c>
    </row>
    <row r="67" spans="1:53" x14ac:dyDescent="0.35">
      <c r="A67" s="21" t="s">
        <v>83</v>
      </c>
      <c r="B67" s="38" t="s">
        <v>84</v>
      </c>
      <c r="C67" s="38" t="s">
        <v>241</v>
      </c>
      <c r="D67" s="38" t="s">
        <v>45</v>
      </c>
      <c r="E67" s="38" t="s">
        <v>239</v>
      </c>
      <c r="F67" s="38">
        <v>8</v>
      </c>
      <c r="G67" s="38">
        <v>540863229.9399991</v>
      </c>
      <c r="H67" s="38">
        <v>4472</v>
      </c>
      <c r="I67" s="38">
        <v>91633507.86999999</v>
      </c>
      <c r="J67" s="38">
        <v>0.16942084948197611</v>
      </c>
      <c r="K67" s="38">
        <v>67607903.742499888</v>
      </c>
      <c r="L67" s="38">
        <v>559</v>
      </c>
      <c r="M67" s="38">
        <v>120944.371632379</v>
      </c>
      <c r="N67" s="38">
        <v>3250</v>
      </c>
      <c r="O67" s="38">
        <v>8</v>
      </c>
      <c r="P67" s="38">
        <v>540863229.9399991</v>
      </c>
      <c r="Q67" s="38">
        <v>91633507.86999999</v>
      </c>
      <c r="R67" s="38">
        <v>0.16942084948197611</v>
      </c>
      <c r="S67" s="38">
        <v>4472</v>
      </c>
      <c r="T67" s="38">
        <v>3250</v>
      </c>
      <c r="U67" s="38">
        <v>8</v>
      </c>
      <c r="V67" s="38">
        <v>128219025.06</v>
      </c>
      <c r="W67" s="38">
        <v>1727</v>
      </c>
      <c r="X67" s="38">
        <v>0.23706367518129129</v>
      </c>
      <c r="Y67" s="38">
        <v>0.76293632481870877</v>
      </c>
      <c r="Z67" s="38">
        <v>14534366.82</v>
      </c>
      <c r="AA67" s="38">
        <v>0.11335577394383289</v>
      </c>
      <c r="AB67" s="38">
        <v>1419</v>
      </c>
      <c r="AC67" s="38">
        <v>4576</v>
      </c>
      <c r="AD67" s="38">
        <v>3219</v>
      </c>
      <c r="AE67" s="38">
        <v>1321</v>
      </c>
      <c r="AF67" s="38">
        <v>36</v>
      </c>
      <c r="AG67" s="38">
        <v>4400</v>
      </c>
      <c r="AH67" s="38">
        <v>3063</v>
      </c>
      <c r="AI67" s="38">
        <v>1320</v>
      </c>
      <c r="AJ67" s="38">
        <v>17</v>
      </c>
      <c r="AK67" s="38">
        <v>272827</v>
      </c>
      <c r="AL67" s="38">
        <v>62.246634725074152</v>
      </c>
      <c r="AM67" s="38">
        <v>158</v>
      </c>
      <c r="AN67" s="38">
        <v>156</v>
      </c>
      <c r="AO67" s="38">
        <v>1</v>
      </c>
      <c r="AP67" s="38">
        <v>1</v>
      </c>
      <c r="AQ67" s="38">
        <v>336286</v>
      </c>
      <c r="AR67" s="38">
        <v>2141.9490445859869</v>
      </c>
      <c r="AS67" s="38">
        <v>80</v>
      </c>
      <c r="AT67" s="38">
        <v>4496</v>
      </c>
      <c r="AU67" s="38">
        <v>3197</v>
      </c>
      <c r="AV67" s="38">
        <v>1264</v>
      </c>
      <c r="AW67" s="38">
        <v>35</v>
      </c>
      <c r="AX67" s="38">
        <v>4322</v>
      </c>
      <c r="AY67" s="38">
        <v>16</v>
      </c>
      <c r="AZ67" s="38">
        <v>263342</v>
      </c>
      <c r="BA67" s="38">
        <v>61.156990246168142</v>
      </c>
    </row>
    <row r="68" spans="1:53" x14ac:dyDescent="0.35">
      <c r="A68" s="40" t="s">
        <v>134</v>
      </c>
      <c r="B68" s="41" t="s">
        <v>135</v>
      </c>
      <c r="C68" s="41" t="s">
        <v>241</v>
      </c>
      <c r="D68" s="41" t="s">
        <v>45</v>
      </c>
      <c r="E68" s="41" t="s">
        <v>239</v>
      </c>
      <c r="F68" s="41">
        <v>8</v>
      </c>
      <c r="G68" s="41">
        <v>478943064.95999962</v>
      </c>
      <c r="H68" s="41">
        <v>4225</v>
      </c>
      <c r="I68" s="41">
        <v>83051112.430000052</v>
      </c>
      <c r="J68" s="41">
        <v>0.1734049796439506</v>
      </c>
      <c r="K68" s="41">
        <v>59867883.119999953</v>
      </c>
      <c r="L68" s="41">
        <v>528.125</v>
      </c>
      <c r="M68" s="41">
        <v>113359.30531597621</v>
      </c>
      <c r="N68" s="41">
        <v>3169</v>
      </c>
      <c r="O68" s="41">
        <v>8</v>
      </c>
      <c r="P68" s="41">
        <v>478943064.95999962</v>
      </c>
      <c r="Q68" s="41">
        <v>83051112.430000052</v>
      </c>
      <c r="R68" s="41">
        <v>0.1734049796439506</v>
      </c>
      <c r="S68" s="41">
        <v>4225</v>
      </c>
      <c r="T68" s="41">
        <v>3169</v>
      </c>
      <c r="U68" s="41">
        <v>8</v>
      </c>
      <c r="V68" s="41">
        <v>91967405.75999999</v>
      </c>
      <c r="W68" s="41">
        <v>1371</v>
      </c>
      <c r="X68" s="41">
        <v>0.1920215835418369</v>
      </c>
      <c r="Y68" s="41">
        <v>0.80797841645816304</v>
      </c>
      <c r="Z68" s="41">
        <v>10973028.75</v>
      </c>
      <c r="AA68" s="41">
        <v>0.11931432293127241</v>
      </c>
      <c r="AB68" s="41">
        <v>1203</v>
      </c>
      <c r="AC68" s="41">
        <v>4344</v>
      </c>
      <c r="AD68" s="41">
        <v>2685</v>
      </c>
      <c r="AE68" s="41">
        <v>1643</v>
      </c>
      <c r="AF68" s="41">
        <v>16</v>
      </c>
      <c r="AG68" s="41">
        <v>4102</v>
      </c>
      <c r="AH68" s="41">
        <v>2453</v>
      </c>
      <c r="AI68" s="41">
        <v>1638</v>
      </c>
      <c r="AJ68" s="41">
        <v>11</v>
      </c>
      <c r="AK68" s="41">
        <v>307328</v>
      </c>
      <c r="AL68" s="41">
        <v>75.122952823270595</v>
      </c>
      <c r="AM68" s="41">
        <v>238</v>
      </c>
      <c r="AN68" s="41">
        <v>232</v>
      </c>
      <c r="AO68" s="41">
        <v>5</v>
      </c>
      <c r="AP68" s="41">
        <v>1</v>
      </c>
      <c r="AQ68" s="41">
        <v>559756</v>
      </c>
      <c r="AR68" s="41">
        <v>2361.839662447258</v>
      </c>
      <c r="AS68" s="41">
        <v>130</v>
      </c>
      <c r="AT68" s="41">
        <v>4214</v>
      </c>
      <c r="AU68" s="41">
        <v>2637</v>
      </c>
      <c r="AV68" s="41">
        <v>1564</v>
      </c>
      <c r="AW68" s="41">
        <v>13</v>
      </c>
      <c r="AX68" s="41">
        <v>3975</v>
      </c>
      <c r="AY68" s="41">
        <v>8</v>
      </c>
      <c r="AZ68" s="41">
        <v>296443</v>
      </c>
      <c r="BA68" s="41">
        <v>74.727249810940251</v>
      </c>
    </row>
    <row r="1048572" spans="1:53" x14ac:dyDescent="0.35">
      <c r="A1048572" s="18"/>
      <c r="B1048572" s="20"/>
      <c r="C1048572" s="20"/>
      <c r="D1048572" s="20"/>
      <c r="E1048572" s="20"/>
      <c r="F1048572" s="20"/>
      <c r="G1048572" s="20"/>
      <c r="H1048572" s="20"/>
      <c r="I1048572" s="20"/>
      <c r="J1048572" s="20"/>
      <c r="K1048572" s="20"/>
      <c r="L1048572" s="20"/>
      <c r="M1048572" s="20"/>
      <c r="N1048572" s="20"/>
      <c r="O1048572" s="20"/>
      <c r="P1048572" s="20"/>
      <c r="Q1048572" s="20"/>
      <c r="R1048572" s="20"/>
      <c r="S1048572" s="20"/>
      <c r="T1048572" s="20"/>
      <c r="U1048572" s="20"/>
      <c r="V1048572" s="20"/>
      <c r="W1048572" s="20"/>
      <c r="X1048572" s="20"/>
      <c r="Y1048572" s="20"/>
      <c r="Z1048572" s="20"/>
      <c r="AA1048572" s="20"/>
      <c r="AB1048572" s="20"/>
      <c r="AC1048572" s="20"/>
      <c r="AD1048572" s="20"/>
      <c r="AE1048572" s="20"/>
      <c r="AF1048572" s="20"/>
      <c r="AG1048572" s="20"/>
      <c r="AH1048572" s="20"/>
      <c r="AI1048572" s="20"/>
      <c r="AJ1048572" s="20"/>
      <c r="AK1048572" s="20"/>
      <c r="AL1048572" s="20"/>
      <c r="AM1048572" s="20"/>
      <c r="AN1048572" s="20"/>
      <c r="AO1048572" s="20"/>
      <c r="AP1048572" s="20"/>
      <c r="AQ1048572" s="20"/>
      <c r="AR1048572" s="20"/>
      <c r="AS1048572" s="20"/>
      <c r="AT1048572" s="20"/>
      <c r="AU1048572" s="20"/>
      <c r="AV1048572" s="20"/>
      <c r="AW1048572" s="20"/>
      <c r="AX1048572" s="20"/>
      <c r="AY1048572" s="20"/>
      <c r="AZ1048572" s="20"/>
      <c r="BA1048572" s="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1ACF-3B58-4911-ABF5-04862BDEFB60}">
  <sheetPr>
    <tabColor theme="9" tint="0.79998168889431442"/>
  </sheetPr>
  <dimension ref="A1:G68"/>
  <sheetViews>
    <sheetView topLeftCell="A41" workbookViewId="0">
      <selection activeCell="A44" sqref="A44:XFD44"/>
    </sheetView>
  </sheetViews>
  <sheetFormatPr defaultRowHeight="14.5" x14ac:dyDescent="0.35"/>
  <cols>
    <col min="1" max="1" width="11.7265625" customWidth="1"/>
    <col min="2" max="2" width="22.54296875" bestFit="1" customWidth="1"/>
    <col min="3" max="3" width="13" bestFit="1" customWidth="1"/>
    <col min="4" max="4" width="13.26953125" customWidth="1"/>
    <col min="5" max="6" width="13.90625" customWidth="1"/>
    <col min="7" max="7" width="11.6328125" customWidth="1"/>
  </cols>
  <sheetData>
    <row r="1" spans="1:7" x14ac:dyDescent="0.35">
      <c r="A1" t="s">
        <v>156</v>
      </c>
      <c r="B1" t="s">
        <v>160</v>
      </c>
      <c r="C1" t="s">
        <v>186</v>
      </c>
      <c r="D1" t="s">
        <v>157</v>
      </c>
      <c r="E1" t="s">
        <v>158</v>
      </c>
      <c r="F1" t="s">
        <v>291</v>
      </c>
      <c r="G1" t="s">
        <v>187</v>
      </c>
    </row>
    <row r="2" spans="1:7" x14ac:dyDescent="0.35">
      <c r="A2" t="s">
        <v>4</v>
      </c>
      <c r="B2" t="s">
        <v>5</v>
      </c>
      <c r="C2" t="s">
        <v>6</v>
      </c>
      <c r="D2" s="25">
        <v>4.5611610228058048E-2</v>
      </c>
      <c r="E2" s="25">
        <v>7.2962530326174863E-2</v>
      </c>
      <c r="F2" s="25">
        <v>0.11011287721723105</v>
      </c>
      <c r="G2" s="25">
        <v>0.1293266847461581</v>
      </c>
    </row>
    <row r="3" spans="1:7" x14ac:dyDescent="0.35">
      <c r="A3" t="s">
        <v>32</v>
      </c>
      <c r="B3" t="s">
        <v>33</v>
      </c>
      <c r="C3" t="s">
        <v>34</v>
      </c>
      <c r="D3" s="25">
        <v>9.6913137114142137E-2</v>
      </c>
      <c r="E3" s="25">
        <v>5.2080364776289544E-2</v>
      </c>
      <c r="F3" s="25">
        <v>3.0868628858578606E-2</v>
      </c>
      <c r="G3" s="25">
        <v>0.10486957397522409</v>
      </c>
    </row>
    <row r="4" spans="1:7" x14ac:dyDescent="0.35">
      <c r="A4" t="s">
        <v>7</v>
      </c>
      <c r="B4" t="s">
        <v>8</v>
      </c>
      <c r="C4" t="s">
        <v>9</v>
      </c>
      <c r="D4" s="25">
        <v>8.4637561779242171E-2</v>
      </c>
      <c r="E4" s="25">
        <v>3.1709526796292423E-2</v>
      </c>
      <c r="F4" s="25">
        <v>2.8418451400329489E-2</v>
      </c>
      <c r="G4" s="25">
        <v>0.10485732858135521</v>
      </c>
    </row>
    <row r="5" spans="1:7" x14ac:dyDescent="0.35">
      <c r="A5" t="s">
        <v>18</v>
      </c>
      <c r="B5" t="s">
        <v>19</v>
      </c>
      <c r="C5" t="s">
        <v>15</v>
      </c>
      <c r="D5" s="25">
        <v>5.3358820316766795E-2</v>
      </c>
      <c r="E5" s="25">
        <v>1.7042226850975194E-2</v>
      </c>
      <c r="F5" s="25">
        <v>3.5335882031676681E-2</v>
      </c>
      <c r="G5" s="25">
        <v>9.5745264891572882E-2</v>
      </c>
    </row>
    <row r="6" spans="1:7" x14ac:dyDescent="0.35">
      <c r="A6" t="s">
        <v>43</v>
      </c>
      <c r="B6" t="s">
        <v>44</v>
      </c>
      <c r="C6" t="s">
        <v>45</v>
      </c>
      <c r="D6" s="25">
        <v>5.1330695430646646E-2</v>
      </c>
      <c r="E6" s="25">
        <v>2.0538440188731612E-2</v>
      </c>
      <c r="F6" s="25">
        <v>1.5990026559705134E-2</v>
      </c>
      <c r="G6" s="25">
        <v>9.4877926700405985E-2</v>
      </c>
    </row>
    <row r="7" spans="1:7" x14ac:dyDescent="0.35">
      <c r="A7" t="s">
        <v>13</v>
      </c>
      <c r="B7" t="s">
        <v>14</v>
      </c>
      <c r="C7" t="s">
        <v>15</v>
      </c>
      <c r="D7" s="25">
        <v>5.2426865344582012E-2</v>
      </c>
      <c r="E7" s="25">
        <v>1.862329973395286E-2</v>
      </c>
      <c r="F7" s="25">
        <v>3.4129505861728936E-2</v>
      </c>
      <c r="G7" s="25">
        <v>9.4622789999633958E-2</v>
      </c>
    </row>
    <row r="8" spans="1:7" x14ac:dyDescent="0.35">
      <c r="A8" t="s">
        <v>24</v>
      </c>
      <c r="B8" t="s">
        <v>25</v>
      </c>
      <c r="C8" t="s">
        <v>9</v>
      </c>
      <c r="D8" s="25">
        <v>7.2375814789840412E-2</v>
      </c>
      <c r="E8" s="25">
        <v>2.7548209366391185E-2</v>
      </c>
      <c r="F8" s="25">
        <v>2.4499887615194425E-2</v>
      </c>
      <c r="G8" s="25">
        <v>9.2337767848075555E-2</v>
      </c>
    </row>
    <row r="9" spans="1:7" x14ac:dyDescent="0.35">
      <c r="A9" t="s">
        <v>29</v>
      </c>
      <c r="B9" t="s">
        <v>30</v>
      </c>
      <c r="C9" t="s">
        <v>31</v>
      </c>
      <c r="D9" s="25">
        <v>6.8720102671800259E-2</v>
      </c>
      <c r="E9" s="25">
        <v>2.7151566709201758E-2</v>
      </c>
      <c r="F9" s="25">
        <v>3.4768405086921014E-2</v>
      </c>
      <c r="G9" s="25">
        <v>9.1892391605805673E-2</v>
      </c>
    </row>
    <row r="10" spans="1:7" x14ac:dyDescent="0.35">
      <c r="A10" t="s">
        <v>16</v>
      </c>
      <c r="B10" t="s">
        <v>17</v>
      </c>
      <c r="C10" t="s">
        <v>12</v>
      </c>
      <c r="D10" s="25">
        <v>6.8095098326973871E-2</v>
      </c>
      <c r="E10" s="25">
        <v>3.1934108807167114E-2</v>
      </c>
      <c r="F10" s="25">
        <v>5.209862048723217E-2</v>
      </c>
      <c r="G10" s="25">
        <v>9.1617349614203314E-2</v>
      </c>
    </row>
    <row r="11" spans="1:7" x14ac:dyDescent="0.35">
      <c r="A11" t="s">
        <v>10</v>
      </c>
      <c r="B11" t="s">
        <v>11</v>
      </c>
      <c r="C11" t="s">
        <v>12</v>
      </c>
      <c r="D11" s="25">
        <v>6.8985936343449294E-2</v>
      </c>
      <c r="E11" s="25">
        <v>3.5284365313919125E-2</v>
      </c>
      <c r="F11" s="25">
        <v>4.0858623242042931E-2</v>
      </c>
      <c r="G11" s="25">
        <v>9.1271233151275236E-2</v>
      </c>
    </row>
    <row r="12" spans="1:7" x14ac:dyDescent="0.35">
      <c r="A12" t="s">
        <v>26</v>
      </c>
      <c r="B12" t="s">
        <v>27</v>
      </c>
      <c r="C12" t="s">
        <v>28</v>
      </c>
      <c r="D12" s="25">
        <v>7.5595170935349204E-2</v>
      </c>
      <c r="E12" s="25">
        <v>1.9745579087160132E-2</v>
      </c>
      <c r="F12" s="25">
        <v>3.3510098160893606E-2</v>
      </c>
      <c r="G12" s="25">
        <v>8.9811685176243355E-2</v>
      </c>
    </row>
    <row r="13" spans="1:7" x14ac:dyDescent="0.35">
      <c r="A13" t="s">
        <v>67</v>
      </c>
      <c r="B13" t="s">
        <v>68</v>
      </c>
      <c r="C13" t="s">
        <v>15</v>
      </c>
      <c r="D13" s="25">
        <v>5.3863257365202893E-2</v>
      </c>
      <c r="E13" s="25">
        <v>2.6452444847175269E-2</v>
      </c>
      <c r="F13" s="25">
        <v>1.0505836575875487E-2</v>
      </c>
      <c r="G13" s="25">
        <v>8.8719969969969975E-2</v>
      </c>
    </row>
    <row r="14" spans="1:7" x14ac:dyDescent="0.35">
      <c r="A14" t="s">
        <v>41</v>
      </c>
      <c r="B14" t="s">
        <v>42</v>
      </c>
      <c r="C14" t="s">
        <v>15</v>
      </c>
      <c r="D14" s="25">
        <v>4.6001458434613514E-2</v>
      </c>
      <c r="E14" s="25">
        <v>1.1938470957373536E-2</v>
      </c>
      <c r="F14" s="25">
        <v>2.3091881380651436E-2</v>
      </c>
      <c r="G14" s="25">
        <v>8.8180943214629451E-2</v>
      </c>
    </row>
    <row r="15" spans="1:7" x14ac:dyDescent="0.35">
      <c r="A15" t="s">
        <v>22</v>
      </c>
      <c r="B15" t="s">
        <v>23</v>
      </c>
      <c r="C15" t="s">
        <v>9</v>
      </c>
      <c r="D15" s="25">
        <v>6.5010570824524314E-2</v>
      </c>
      <c r="E15" s="25">
        <v>2.4451673837758422E-2</v>
      </c>
      <c r="F15" s="25">
        <v>2.0084566596194502E-2</v>
      </c>
      <c r="G15" s="25">
        <v>8.8082197981261032E-2</v>
      </c>
    </row>
    <row r="16" spans="1:7" x14ac:dyDescent="0.35">
      <c r="A16" t="s">
        <v>20</v>
      </c>
      <c r="B16" t="s">
        <v>21</v>
      </c>
      <c r="C16" t="s">
        <v>15</v>
      </c>
      <c r="D16" s="25">
        <v>4.6237375211629399E-2</v>
      </c>
      <c r="E16" s="25">
        <v>1.6697094173132511E-2</v>
      </c>
      <c r="F16" s="25">
        <v>2.9774067371124993E-2</v>
      </c>
      <c r="G16" s="25">
        <v>8.4346706065083155E-2</v>
      </c>
    </row>
    <row r="17" spans="1:7" x14ac:dyDescent="0.35">
      <c r="A17" t="s">
        <v>53</v>
      </c>
      <c r="B17" t="s">
        <v>54</v>
      </c>
      <c r="C17" t="s">
        <v>28</v>
      </c>
      <c r="D17" s="25">
        <v>8.6538461538461536E-2</v>
      </c>
      <c r="E17" s="25">
        <v>2.1770126934446184E-2</v>
      </c>
      <c r="F17" s="25">
        <v>4.5787545787545784E-2</v>
      </c>
      <c r="G17" s="25">
        <v>8.4198250728862972E-2</v>
      </c>
    </row>
    <row r="18" spans="1:7" x14ac:dyDescent="0.35">
      <c r="A18" t="s">
        <v>75</v>
      </c>
      <c r="B18" t="s">
        <v>76</v>
      </c>
      <c r="C18" t="s">
        <v>45</v>
      </c>
      <c r="D18" s="25">
        <v>3.891699860049521E-2</v>
      </c>
      <c r="E18" s="25">
        <v>1.6914349354400861E-2</v>
      </c>
      <c r="F18" s="25">
        <v>1.2972332866831736E-2</v>
      </c>
      <c r="G18" s="25">
        <v>8.40650826446281E-2</v>
      </c>
    </row>
    <row r="19" spans="1:7" x14ac:dyDescent="0.35">
      <c r="A19" t="s">
        <v>57</v>
      </c>
      <c r="B19" t="s">
        <v>58</v>
      </c>
      <c r="C19" t="s">
        <v>15</v>
      </c>
      <c r="D19" s="25">
        <v>4.4818778885915837E-2</v>
      </c>
      <c r="E19" s="25">
        <v>1.5728192403130368E-2</v>
      </c>
      <c r="F19" s="25">
        <v>2.3899294575529067E-2</v>
      </c>
      <c r="G19" s="25">
        <v>8.4005140787475174E-2</v>
      </c>
    </row>
    <row r="20" spans="1:7" x14ac:dyDescent="0.35">
      <c r="A20" t="s">
        <v>121</v>
      </c>
      <c r="B20" t="s">
        <v>122</v>
      </c>
      <c r="C20" t="s">
        <v>45</v>
      </c>
      <c r="D20" s="25">
        <v>6.2443916600686197E-2</v>
      </c>
      <c r="E20" s="25">
        <v>3.1906588371066837E-2</v>
      </c>
      <c r="F20" s="25">
        <v>1.9371865927685406E-2</v>
      </c>
      <c r="G20" s="25">
        <v>8.2186386649165569E-2</v>
      </c>
    </row>
    <row r="21" spans="1:7" x14ac:dyDescent="0.35">
      <c r="A21" t="s">
        <v>50</v>
      </c>
      <c r="B21" t="s">
        <v>51</v>
      </c>
      <c r="C21" t="s">
        <v>52</v>
      </c>
      <c r="D21" s="25">
        <v>3.7685774946921442E-2</v>
      </c>
      <c r="E21" s="25">
        <v>1.5838454784899033E-2</v>
      </c>
      <c r="F21" s="25">
        <v>1.8046709129511677E-2</v>
      </c>
      <c r="G21" s="25">
        <v>8.1927116057804505E-2</v>
      </c>
    </row>
    <row r="22" spans="1:7" x14ac:dyDescent="0.35">
      <c r="A22" t="s">
        <v>35</v>
      </c>
      <c r="B22" t="s">
        <v>36</v>
      </c>
      <c r="C22" t="s">
        <v>37</v>
      </c>
      <c r="D22" s="25">
        <v>8.6874999999999994E-2</v>
      </c>
      <c r="E22" s="25">
        <v>3.1307097680955728E-2</v>
      </c>
      <c r="F22" s="25">
        <v>2.2124999999999999E-2</v>
      </c>
      <c r="G22" s="25">
        <v>8.1882035985759646E-2</v>
      </c>
    </row>
    <row r="23" spans="1:7" x14ac:dyDescent="0.35">
      <c r="A23" t="s">
        <v>38</v>
      </c>
      <c r="B23" t="s">
        <v>39</v>
      </c>
      <c r="C23" t="s">
        <v>40</v>
      </c>
      <c r="D23" s="25">
        <v>8.4498174033497034E-2</v>
      </c>
      <c r="E23" s="25">
        <v>2.4918969783570905E-2</v>
      </c>
      <c r="F23" s="25">
        <v>2.2793099105906055E-2</v>
      </c>
      <c r="G23" s="25">
        <v>8.1796848809922898E-2</v>
      </c>
    </row>
    <row r="24" spans="1:7" x14ac:dyDescent="0.35">
      <c r="A24" t="s">
        <v>55</v>
      </c>
      <c r="B24" t="s">
        <v>56</v>
      </c>
      <c r="C24" t="s">
        <v>45</v>
      </c>
      <c r="D24" s="25">
        <v>6.1450405685892197E-2</v>
      </c>
      <c r="E24" s="25">
        <v>2.3555005438655713E-2</v>
      </c>
      <c r="F24" s="25">
        <v>2.4529844644317254E-2</v>
      </c>
      <c r="G24" s="25">
        <v>8.1256133464180563E-2</v>
      </c>
    </row>
    <row r="25" spans="1:7" x14ac:dyDescent="0.35">
      <c r="A25" t="s">
        <v>46</v>
      </c>
      <c r="B25" t="s">
        <v>47</v>
      </c>
      <c r="C25" t="s">
        <v>45</v>
      </c>
      <c r="D25" s="25">
        <v>5.6268385804594104E-2</v>
      </c>
      <c r="E25" s="25">
        <v>1.6303736741501443E-2</v>
      </c>
      <c r="F25" s="25">
        <v>1.2267634724917069E-2</v>
      </c>
      <c r="G25" s="25">
        <v>8.0908914352301423E-2</v>
      </c>
    </row>
    <row r="26" spans="1:7" x14ac:dyDescent="0.35">
      <c r="A26" t="s">
        <v>88</v>
      </c>
      <c r="B26" t="s">
        <v>89</v>
      </c>
      <c r="C26" t="s">
        <v>15</v>
      </c>
      <c r="D26" s="25">
        <v>5.0324763932099774E-2</v>
      </c>
      <c r="E26" s="25">
        <v>1.6988312041315574E-2</v>
      </c>
      <c r="F26" s="25">
        <v>1.6920473773265651E-2</v>
      </c>
      <c r="G26" s="25">
        <v>8.0128146116031154E-2</v>
      </c>
    </row>
    <row r="27" spans="1:7" x14ac:dyDescent="0.35">
      <c r="A27" t="s">
        <v>69</v>
      </c>
      <c r="B27" t="s">
        <v>70</v>
      </c>
      <c r="C27" t="s">
        <v>15</v>
      </c>
      <c r="D27" s="25">
        <v>2.9435632607893766E-2</v>
      </c>
      <c r="E27" s="25">
        <v>1.3936249073387695E-2</v>
      </c>
      <c r="F27" s="25">
        <v>3.6222796016230172E-2</v>
      </c>
      <c r="G27" s="25">
        <v>7.8783777009074046E-2</v>
      </c>
    </row>
    <row r="28" spans="1:7" x14ac:dyDescent="0.35">
      <c r="A28" t="s">
        <v>63</v>
      </c>
      <c r="B28" t="s">
        <v>64</v>
      </c>
      <c r="C28" t="s">
        <v>15</v>
      </c>
      <c r="D28" s="25">
        <v>5.2413203978278117E-2</v>
      </c>
      <c r="E28" s="25">
        <v>1.3894579996274912E-2</v>
      </c>
      <c r="F28" s="25">
        <v>2.1355787418390382E-2</v>
      </c>
      <c r="G28" s="25">
        <v>7.8101895416050546E-2</v>
      </c>
    </row>
    <row r="29" spans="1:7" x14ac:dyDescent="0.35">
      <c r="A29" t="s">
        <v>71</v>
      </c>
      <c r="B29" t="s">
        <v>72</v>
      </c>
      <c r="C29" t="s">
        <v>45</v>
      </c>
      <c r="D29" s="25">
        <v>2.8285559762033532E-2</v>
      </c>
      <c r="E29" s="25">
        <v>1.4222129494401558E-2</v>
      </c>
      <c r="F29" s="25">
        <v>1.2871822606814494E-2</v>
      </c>
      <c r="G29" s="25">
        <v>7.7935054121565359E-2</v>
      </c>
    </row>
    <row r="30" spans="1:7" x14ac:dyDescent="0.35">
      <c r="A30" t="s">
        <v>77</v>
      </c>
      <c r="B30" t="s">
        <v>78</v>
      </c>
      <c r="C30" t="s">
        <v>15</v>
      </c>
      <c r="D30" s="25">
        <v>4.078963756383111E-2</v>
      </c>
      <c r="E30" s="25">
        <v>1.5357579462102689E-2</v>
      </c>
      <c r="F30" s="25">
        <v>1.3513513513513514E-2</v>
      </c>
      <c r="G30" s="25">
        <v>7.7470045177764679E-2</v>
      </c>
    </row>
    <row r="31" spans="1:7" x14ac:dyDescent="0.35">
      <c r="A31" t="s">
        <v>59</v>
      </c>
      <c r="B31" t="s">
        <v>60</v>
      </c>
      <c r="C31" t="s">
        <v>15</v>
      </c>
      <c r="D31" s="25">
        <v>3.9201978920197895E-2</v>
      </c>
      <c r="E31" s="25">
        <v>1.2790394152962672E-2</v>
      </c>
      <c r="F31" s="25">
        <v>2.1348677134867714E-2</v>
      </c>
      <c r="G31" s="25">
        <v>7.7379412308260953E-2</v>
      </c>
    </row>
    <row r="32" spans="1:7" x14ac:dyDescent="0.35">
      <c r="A32" t="s">
        <v>117</v>
      </c>
      <c r="B32" t="s">
        <v>118</v>
      </c>
      <c r="C32" t="s">
        <v>15</v>
      </c>
      <c r="D32" s="25">
        <v>5.5144316290813108E-2</v>
      </c>
      <c r="E32" s="25">
        <v>1.5941615362661556E-2</v>
      </c>
      <c r="F32" s="25">
        <v>1.0271417914730017E-2</v>
      </c>
      <c r="G32" s="25">
        <v>7.7076779185443409E-2</v>
      </c>
    </row>
    <row r="33" spans="1:7" x14ac:dyDescent="0.35">
      <c r="A33" t="s">
        <v>85</v>
      </c>
      <c r="B33" t="s">
        <v>86</v>
      </c>
      <c r="C33" t="s">
        <v>87</v>
      </c>
      <c r="D33" s="25">
        <v>5.2781289506953225E-2</v>
      </c>
      <c r="E33" s="25">
        <v>1.35933604289764E-2</v>
      </c>
      <c r="F33" s="25">
        <v>2.0543615676359039E-2</v>
      </c>
      <c r="G33" s="25">
        <v>7.6796073181615354E-2</v>
      </c>
    </row>
    <row r="34" spans="1:7" x14ac:dyDescent="0.35">
      <c r="A34" t="s">
        <v>83</v>
      </c>
      <c r="B34" t="s">
        <v>84</v>
      </c>
      <c r="C34" t="s">
        <v>45</v>
      </c>
      <c r="D34" s="25">
        <v>6.0925632479099504E-2</v>
      </c>
      <c r="E34" s="25">
        <v>1.4607988165680473E-2</v>
      </c>
      <c r="F34" s="25">
        <v>1.9233921643626032E-2</v>
      </c>
      <c r="G34" s="25">
        <v>7.6766924294627059E-2</v>
      </c>
    </row>
    <row r="35" spans="1:7" x14ac:dyDescent="0.35">
      <c r="A35" t="s">
        <v>79</v>
      </c>
      <c r="B35" t="s">
        <v>80</v>
      </c>
      <c r="C35" t="s">
        <v>6</v>
      </c>
      <c r="D35" s="25">
        <v>3.0343174362856423E-2</v>
      </c>
      <c r="E35" s="25">
        <v>1.1592226389362428E-2</v>
      </c>
      <c r="F35" s="25">
        <v>2.2079232904365378E-2</v>
      </c>
      <c r="G35" s="25">
        <v>7.6621242872330145E-2</v>
      </c>
    </row>
    <row r="36" spans="1:7" x14ac:dyDescent="0.35">
      <c r="A36" t="s">
        <v>95</v>
      </c>
      <c r="B36" t="s">
        <v>96</v>
      </c>
      <c r="C36" t="s">
        <v>45</v>
      </c>
      <c r="D36" s="25">
        <v>4.51350757742148E-2</v>
      </c>
      <c r="E36" s="25">
        <v>2.2532626427406201E-2</v>
      </c>
      <c r="F36" s="25">
        <v>2.0920272347902481E-2</v>
      </c>
      <c r="G36" s="25">
        <v>7.649479544904382E-2</v>
      </c>
    </row>
    <row r="37" spans="1:7" x14ac:dyDescent="0.35">
      <c r="A37" t="s">
        <v>65</v>
      </c>
      <c r="B37" t="s">
        <v>66</v>
      </c>
      <c r="C37" t="s">
        <v>15</v>
      </c>
      <c r="D37" s="25">
        <v>4.3179587831207067E-2</v>
      </c>
      <c r="E37" s="25">
        <v>1.4320524835988753E-2</v>
      </c>
      <c r="F37" s="25">
        <v>2.0915112855740922E-2</v>
      </c>
      <c r="G37" s="25">
        <v>7.6349772004444955E-2</v>
      </c>
    </row>
    <row r="38" spans="1:7" x14ac:dyDescent="0.35">
      <c r="A38" t="s">
        <v>61</v>
      </c>
      <c r="B38" t="s">
        <v>62</v>
      </c>
      <c r="C38" t="s">
        <v>6</v>
      </c>
      <c r="D38" s="25">
        <v>3.4351869424938321E-2</v>
      </c>
      <c r="E38" s="25">
        <v>1.4329649531920646E-2</v>
      </c>
      <c r="F38" s="25">
        <v>2.5495033845764535E-2</v>
      </c>
      <c r="G38" s="25">
        <v>7.5239819701814536E-2</v>
      </c>
    </row>
    <row r="39" spans="1:7" x14ac:dyDescent="0.35">
      <c r="A39" t="s">
        <v>97</v>
      </c>
      <c r="B39" t="s">
        <v>98</v>
      </c>
      <c r="C39" t="s">
        <v>15</v>
      </c>
      <c r="D39" s="25">
        <v>5.4451534487997569E-2</v>
      </c>
      <c r="E39" s="25">
        <v>1.1381505054286783E-2</v>
      </c>
      <c r="F39" s="25">
        <v>2.7529626253418413E-2</v>
      </c>
      <c r="G39" s="25">
        <v>7.4581901046695764E-2</v>
      </c>
    </row>
    <row r="40" spans="1:7" x14ac:dyDescent="0.35">
      <c r="A40" t="s">
        <v>90</v>
      </c>
      <c r="B40" t="s">
        <v>91</v>
      </c>
      <c r="C40" t="s">
        <v>92</v>
      </c>
      <c r="D40" s="25">
        <v>3.2769152456095699E-2</v>
      </c>
      <c r="E40" s="25">
        <v>1.4222373806275579E-2</v>
      </c>
      <c r="F40" s="25">
        <v>1.9216085517943498E-2</v>
      </c>
      <c r="G40" s="25">
        <v>7.3377035314019873E-2</v>
      </c>
    </row>
    <row r="41" spans="1:7" x14ac:dyDescent="0.35">
      <c r="A41" t="s">
        <v>103</v>
      </c>
      <c r="B41" t="s">
        <v>104</v>
      </c>
      <c r="C41" t="s">
        <v>6</v>
      </c>
      <c r="D41" s="25">
        <v>3.671239837398374E-2</v>
      </c>
      <c r="E41" s="25">
        <v>1.3309732103346156E-2</v>
      </c>
      <c r="F41" s="25">
        <v>2.2167174796747968E-2</v>
      </c>
      <c r="G41" s="25">
        <v>7.3029110323058338E-2</v>
      </c>
    </row>
    <row r="42" spans="1:7" x14ac:dyDescent="0.35">
      <c r="A42" t="s">
        <v>109</v>
      </c>
      <c r="B42" t="s">
        <v>110</v>
      </c>
      <c r="C42" t="s">
        <v>45</v>
      </c>
      <c r="D42" s="25">
        <v>4.3171114599686027E-2</v>
      </c>
      <c r="E42" s="25">
        <v>2.1168156025959024E-2</v>
      </c>
      <c r="F42" s="25">
        <v>1.2671002466920834E-2</v>
      </c>
      <c r="G42" s="25">
        <v>7.2994899015566467E-2</v>
      </c>
    </row>
    <row r="43" spans="1:7" x14ac:dyDescent="0.35">
      <c r="A43" t="s">
        <v>93</v>
      </c>
      <c r="B43" t="s">
        <v>94</v>
      </c>
      <c r="C43" t="s">
        <v>15</v>
      </c>
      <c r="D43" s="25">
        <v>5.0245296242385037E-2</v>
      </c>
      <c r="E43" s="25">
        <v>2.7027027027027029E-2</v>
      </c>
      <c r="F43" s="25">
        <v>1.6928136287670495E-2</v>
      </c>
      <c r="G43" s="25">
        <v>7.2731337444343014E-2</v>
      </c>
    </row>
    <row r="44" spans="1:7" x14ac:dyDescent="0.35">
      <c r="A44" t="s">
        <v>73</v>
      </c>
      <c r="B44" t="s">
        <v>74</v>
      </c>
      <c r="C44" t="s">
        <v>28</v>
      </c>
      <c r="D44" s="25">
        <v>8.199521694567817E-2</v>
      </c>
      <c r="E44" s="25">
        <v>3.4470703398126135E-2</v>
      </c>
      <c r="F44" s="25">
        <v>3.0406559617355656E-2</v>
      </c>
      <c r="G44" s="25">
        <v>7.2388456518586553E-2</v>
      </c>
    </row>
    <row r="45" spans="1:7" x14ac:dyDescent="0.35">
      <c r="A45" t="s">
        <v>107</v>
      </c>
      <c r="B45" t="s">
        <v>108</v>
      </c>
      <c r="C45" t="s">
        <v>45</v>
      </c>
      <c r="D45" s="25">
        <v>6.0901494049126363E-2</v>
      </c>
      <c r="E45" s="25">
        <v>1.4700815435856208E-2</v>
      </c>
      <c r="F45" s="25">
        <v>1.3927576601671309E-2</v>
      </c>
      <c r="G45" s="25">
        <v>7.2193325102714076E-2</v>
      </c>
    </row>
    <row r="46" spans="1:7" x14ac:dyDescent="0.35">
      <c r="A46" t="s">
        <v>162</v>
      </c>
      <c r="B46" t="s">
        <v>163</v>
      </c>
      <c r="C46" t="s">
        <v>92</v>
      </c>
      <c r="D46" s="25">
        <v>2.766798418972332E-2</v>
      </c>
      <c r="E46" s="25">
        <v>7.2721930436698862E-2</v>
      </c>
      <c r="F46" s="25">
        <v>1.117623006678479E-2</v>
      </c>
      <c r="G46" s="25">
        <v>7.1823449745787166E-2</v>
      </c>
    </row>
    <row r="47" spans="1:7" x14ac:dyDescent="0.35">
      <c r="A47" t="s">
        <v>119</v>
      </c>
      <c r="B47" t="s">
        <v>120</v>
      </c>
      <c r="C47" t="s">
        <v>15</v>
      </c>
      <c r="D47" s="25">
        <v>6.3436266291709481E-2</v>
      </c>
      <c r="E47" s="25">
        <v>1.7283448556323709E-2</v>
      </c>
      <c r="F47" s="25">
        <v>1.2708885403709912E-2</v>
      </c>
      <c r="G47" s="25">
        <v>7.166913397483346E-2</v>
      </c>
    </row>
    <row r="48" spans="1:7" x14ac:dyDescent="0.35">
      <c r="A48" t="s">
        <v>81</v>
      </c>
      <c r="B48" t="s">
        <v>82</v>
      </c>
      <c r="C48" t="s">
        <v>45</v>
      </c>
      <c r="D48" s="25">
        <v>4.5736034060121278E-2</v>
      </c>
      <c r="E48" s="25">
        <v>1.7700489092461764E-2</v>
      </c>
      <c r="F48" s="25">
        <v>1.7030060637337117E-2</v>
      </c>
      <c r="G48" s="25">
        <v>6.9805958247285665E-2</v>
      </c>
    </row>
    <row r="49" spans="1:7" x14ac:dyDescent="0.35">
      <c r="A49" t="s">
        <v>105</v>
      </c>
      <c r="B49" t="s">
        <v>106</v>
      </c>
      <c r="C49" t="s">
        <v>15</v>
      </c>
      <c r="D49" s="25">
        <v>3.8367992216952453E-2</v>
      </c>
      <c r="E49" s="25">
        <v>1.0077082158300433E-2</v>
      </c>
      <c r="F49" s="25">
        <v>1.6174145688921317E-2</v>
      </c>
      <c r="G49" s="25">
        <v>6.9747132682567103E-2</v>
      </c>
    </row>
    <row r="50" spans="1:7" x14ac:dyDescent="0.35">
      <c r="A50" t="s">
        <v>113</v>
      </c>
      <c r="B50" t="s">
        <v>114</v>
      </c>
      <c r="C50" t="s">
        <v>6</v>
      </c>
      <c r="D50" s="25">
        <v>3.021838496698832E-2</v>
      </c>
      <c r="E50" s="25">
        <v>1.0932519962987079E-2</v>
      </c>
      <c r="F50" s="25">
        <v>2.1267140680548503E-2</v>
      </c>
      <c r="G50" s="25">
        <v>6.86782564483642E-2</v>
      </c>
    </row>
    <row r="51" spans="1:7" x14ac:dyDescent="0.35">
      <c r="A51" t="s">
        <v>101</v>
      </c>
      <c r="B51" t="s">
        <v>102</v>
      </c>
      <c r="C51" t="s">
        <v>45</v>
      </c>
      <c r="D51" s="25">
        <v>3.2758905467158511E-2</v>
      </c>
      <c r="E51" s="25">
        <v>9.9765476677958539E-3</v>
      </c>
      <c r="F51" s="25">
        <v>2.2187964543302317E-2</v>
      </c>
      <c r="G51" s="25">
        <v>6.7196545241330535E-2</v>
      </c>
    </row>
    <row r="52" spans="1:7" x14ac:dyDescent="0.35">
      <c r="A52" t="s">
        <v>111</v>
      </c>
      <c r="B52" t="s">
        <v>112</v>
      </c>
      <c r="C52" t="s">
        <v>6</v>
      </c>
      <c r="D52" s="25">
        <v>3.2974727863008466E-2</v>
      </c>
      <c r="E52" s="25">
        <v>1.2043683870309258E-2</v>
      </c>
      <c r="F52" s="25">
        <v>2.6545292507479789E-2</v>
      </c>
      <c r="G52" s="25">
        <v>6.7130124084898143E-2</v>
      </c>
    </row>
    <row r="53" spans="1:7" x14ac:dyDescent="0.35">
      <c r="A53" t="s">
        <v>115</v>
      </c>
      <c r="B53" t="s">
        <v>116</v>
      </c>
      <c r="C53" t="s">
        <v>45</v>
      </c>
      <c r="D53" s="25">
        <v>4.7236399174720382E-2</v>
      </c>
      <c r="E53" s="25">
        <v>1.7123406620124345E-2</v>
      </c>
      <c r="F53" s="25">
        <v>1.0587468780540775E-2</v>
      </c>
      <c r="G53" s="25">
        <v>6.7009132420091322E-2</v>
      </c>
    </row>
    <row r="54" spans="1:7" x14ac:dyDescent="0.35">
      <c r="A54" t="s">
        <v>99</v>
      </c>
      <c r="B54" t="s">
        <v>100</v>
      </c>
      <c r="C54" t="s">
        <v>15</v>
      </c>
      <c r="D54" s="25">
        <v>3.2892918348167398E-2</v>
      </c>
      <c r="E54" s="25">
        <v>1.2593511522123228E-2</v>
      </c>
      <c r="F54" s="25">
        <v>1.2549062966443696E-2</v>
      </c>
      <c r="G54" s="25">
        <v>6.569863424883686E-2</v>
      </c>
    </row>
    <row r="55" spans="1:7" x14ac:dyDescent="0.35">
      <c r="A55" t="s">
        <v>125</v>
      </c>
      <c r="B55" t="s">
        <v>126</v>
      </c>
      <c r="C55" t="s">
        <v>127</v>
      </c>
      <c r="D55" s="25">
        <v>5.0935476986554741E-2</v>
      </c>
      <c r="E55" s="25">
        <v>1.2436289500509684E-2</v>
      </c>
      <c r="F55" s="25">
        <v>1.0315145479120724E-2</v>
      </c>
      <c r="G55" s="25">
        <v>6.2615441448097525E-2</v>
      </c>
    </row>
    <row r="56" spans="1:7" x14ac:dyDescent="0.35">
      <c r="A56" t="s">
        <v>123</v>
      </c>
      <c r="B56" t="s">
        <v>124</v>
      </c>
      <c r="C56" t="s">
        <v>15</v>
      </c>
      <c r="D56" s="25">
        <v>3.4826147426981917E-2</v>
      </c>
      <c r="E56" s="25">
        <v>1.6636071592473611E-2</v>
      </c>
      <c r="F56" s="25">
        <v>1.5632823365785812E-2</v>
      </c>
      <c r="G56" s="25">
        <v>6.162199764255763E-2</v>
      </c>
    </row>
    <row r="57" spans="1:7" x14ac:dyDescent="0.35">
      <c r="A57" t="s">
        <v>134</v>
      </c>
      <c r="B57" t="s">
        <v>135</v>
      </c>
      <c r="C57" t="s">
        <v>45</v>
      </c>
      <c r="D57" s="25">
        <v>6.3217768147345615E-2</v>
      </c>
      <c r="E57" s="25">
        <v>1.3006051949028305E-2</v>
      </c>
      <c r="F57" s="25">
        <v>1.7334777898158179E-2</v>
      </c>
      <c r="G57" s="25">
        <v>6.0426655278839995E-2</v>
      </c>
    </row>
    <row r="58" spans="1:7" x14ac:dyDescent="0.35">
      <c r="A58" t="s">
        <v>136</v>
      </c>
      <c r="B58" t="s">
        <v>137</v>
      </c>
      <c r="C58" t="s">
        <v>52</v>
      </c>
      <c r="D58" s="25">
        <v>5.7985967808501855E-2</v>
      </c>
      <c r="E58" s="25">
        <v>1.9608533408434839E-2</v>
      </c>
      <c r="F58" s="25">
        <v>1.7746595130004126E-2</v>
      </c>
      <c r="G58" s="25">
        <v>5.9288907614165672E-2</v>
      </c>
    </row>
    <row r="59" spans="1:7" x14ac:dyDescent="0.35">
      <c r="A59" t="s">
        <v>128</v>
      </c>
      <c r="B59" t="s">
        <v>129</v>
      </c>
      <c r="C59" t="s">
        <v>45</v>
      </c>
      <c r="D59" s="25">
        <v>4.3558325660457538E-2</v>
      </c>
      <c r="E59" s="25">
        <v>1.4193208342745275E-2</v>
      </c>
      <c r="F59" s="25">
        <v>1.6502585168921311E-2</v>
      </c>
      <c r="G59" s="25">
        <v>5.8410161852079492E-2</v>
      </c>
    </row>
    <row r="60" spans="1:7" x14ac:dyDescent="0.35">
      <c r="A60" t="s">
        <v>132</v>
      </c>
      <c r="B60" t="s">
        <v>133</v>
      </c>
      <c r="C60" t="s">
        <v>127</v>
      </c>
      <c r="D60" s="25">
        <v>5.6586336816663113E-2</v>
      </c>
      <c r="E60" s="25">
        <v>1.3965517241379311E-2</v>
      </c>
      <c r="F60" s="25">
        <v>4.90509703561527E-3</v>
      </c>
      <c r="G60" s="25">
        <v>5.6629544021853329E-2</v>
      </c>
    </row>
    <row r="61" spans="1:7" x14ac:dyDescent="0.35">
      <c r="A61" t="s">
        <v>143</v>
      </c>
      <c r="B61" t="s">
        <v>144</v>
      </c>
      <c r="C61" t="s">
        <v>15</v>
      </c>
      <c r="D61" s="1">
        <v>4.74967103201955E-2</v>
      </c>
      <c r="E61" s="1">
        <v>2.6118082051685483E-2</v>
      </c>
      <c r="F61" s="1">
        <v>1.6354408170938028E-2</v>
      </c>
      <c r="G61" s="1">
        <v>5.5744563954102655E-2</v>
      </c>
    </row>
    <row r="62" spans="1:7" x14ac:dyDescent="0.35">
      <c r="A62" t="s">
        <v>48</v>
      </c>
      <c r="B62" t="s">
        <v>49</v>
      </c>
      <c r="C62" t="s">
        <v>15</v>
      </c>
      <c r="D62" s="25">
        <v>5.5308328035600762E-2</v>
      </c>
      <c r="E62" s="25">
        <v>2.1159153633854646E-2</v>
      </c>
      <c r="F62" s="25">
        <v>1.9707565162110616E-2</v>
      </c>
      <c r="G62" s="25">
        <v>5.5032491903832546E-2</v>
      </c>
    </row>
    <row r="63" spans="1:7" x14ac:dyDescent="0.35">
      <c r="A63" t="s">
        <v>130</v>
      </c>
      <c r="B63" t="s">
        <v>131</v>
      </c>
      <c r="C63" t="s">
        <v>6</v>
      </c>
      <c r="D63" s="25">
        <v>3.366685545277201E-2</v>
      </c>
      <c r="E63" s="25">
        <v>1.5070542967079948E-2</v>
      </c>
      <c r="F63" s="25">
        <v>1.7431250393304384E-2</v>
      </c>
      <c r="G63" s="25">
        <v>5.2927535042173741E-2</v>
      </c>
    </row>
    <row r="64" spans="1:7" x14ac:dyDescent="0.35">
      <c r="A64" t="s">
        <v>164</v>
      </c>
      <c r="B64" t="s">
        <v>165</v>
      </c>
      <c r="C64" t="s">
        <v>87</v>
      </c>
      <c r="D64" s="25">
        <v>4.3894652833200321E-2</v>
      </c>
      <c r="E64" s="25">
        <v>3.6800531522220584E-2</v>
      </c>
      <c r="F64" s="25">
        <v>7.7528217991107056E-3</v>
      </c>
      <c r="G64" s="25">
        <v>5.0680903744970598E-2</v>
      </c>
    </row>
    <row r="65" spans="1:7" x14ac:dyDescent="0.35">
      <c r="A65" t="s">
        <v>253</v>
      </c>
      <c r="B65" t="s">
        <v>254</v>
      </c>
      <c r="C65" t="s">
        <v>6</v>
      </c>
      <c r="D65" s="25">
        <v>3.9091212829936516E-2</v>
      </c>
      <c r="E65" s="25">
        <v>3.3485484754427607E-2</v>
      </c>
      <c r="F65" s="25">
        <v>9.5556298028733715E-3</v>
      </c>
      <c r="G65" s="25">
        <v>4.8191717321904928E-2</v>
      </c>
    </row>
    <row r="66" spans="1:7" x14ac:dyDescent="0.35">
      <c r="A66" t="s">
        <v>138</v>
      </c>
      <c r="B66" t="s">
        <v>139</v>
      </c>
      <c r="C66" t="s">
        <v>45</v>
      </c>
      <c r="D66" s="25">
        <v>3.4138162307176395E-2</v>
      </c>
      <c r="E66" s="25">
        <v>2.1445559721046479E-2</v>
      </c>
      <c r="F66" s="25">
        <v>1.4017437961099933E-2</v>
      </c>
      <c r="G66" s="25">
        <v>4.4632618858604568E-2</v>
      </c>
    </row>
    <row r="67" spans="1:7" x14ac:dyDescent="0.35">
      <c r="A67" t="s">
        <v>140</v>
      </c>
      <c r="B67" t="s">
        <v>141</v>
      </c>
      <c r="C67" t="s">
        <v>142</v>
      </c>
      <c r="D67" s="25">
        <v>2.140020591263421E-2</v>
      </c>
      <c r="E67" s="25">
        <v>1.6383433397781623E-2</v>
      </c>
      <c r="F67" s="25">
        <v>8.0158846889248417E-3</v>
      </c>
      <c r="G67" s="25">
        <v>3.0625889660527112E-2</v>
      </c>
    </row>
    <row r="68" spans="1:7" x14ac:dyDescent="0.35">
      <c r="A68" t="s">
        <v>289</v>
      </c>
      <c r="B68" t="s">
        <v>290</v>
      </c>
      <c r="C68" t="s">
        <v>92</v>
      </c>
      <c r="D68" s="1">
        <v>1.6361210589144019E-2</v>
      </c>
      <c r="E68" s="1">
        <v>5.7486184771724218E-3</v>
      </c>
      <c r="F68" s="1">
        <v>5.617583034899235E-4</v>
      </c>
      <c r="G68" s="1">
        <v>2.0068268768184006E-2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317C-5847-4691-A519-8A1250178219}">
  <sheetPr>
    <tabColor theme="9" tint="0.79998168889431442"/>
  </sheetPr>
  <dimension ref="A1:U68"/>
  <sheetViews>
    <sheetView topLeftCell="F1" workbookViewId="0">
      <selection activeCell="G14" sqref="G14"/>
    </sheetView>
  </sheetViews>
  <sheetFormatPr defaultRowHeight="14.5" x14ac:dyDescent="0.35"/>
  <cols>
    <col min="1" max="1" width="5.453125" bestFit="1" customWidth="1"/>
    <col min="2" max="2" width="12.26953125" bestFit="1" customWidth="1"/>
    <col min="3" max="3" width="22.54296875" bestFit="1" customWidth="1"/>
    <col min="4" max="4" width="11.453125" bestFit="1" customWidth="1"/>
    <col min="5" max="5" width="19.81640625" bestFit="1" customWidth="1"/>
    <col min="6" max="6" width="22.36328125" bestFit="1" customWidth="1"/>
    <col min="7" max="7" width="20.36328125" bestFit="1" customWidth="1"/>
    <col min="8" max="8" width="22.26953125" bestFit="1" customWidth="1"/>
    <col min="9" max="9" width="16.453125" bestFit="1" customWidth="1"/>
    <col min="10" max="10" width="13.90625" bestFit="1" customWidth="1"/>
    <col min="11" max="11" width="12.1796875" bestFit="1" customWidth="1"/>
    <col min="12" max="12" width="10.54296875" bestFit="1" customWidth="1"/>
    <col min="13" max="13" width="16.6328125" bestFit="1" customWidth="1"/>
    <col min="14" max="14" width="27.90625" bestFit="1" customWidth="1"/>
    <col min="15" max="16" width="11.81640625" bestFit="1" customWidth="1"/>
    <col min="17" max="17" width="14.6328125" bestFit="1" customWidth="1"/>
    <col min="18" max="18" width="16.6328125" bestFit="1" customWidth="1"/>
    <col min="19" max="19" width="16.90625" bestFit="1" customWidth="1"/>
    <col min="20" max="20" width="16.81640625" bestFit="1" customWidth="1"/>
    <col min="21" max="21" width="17.36328125" bestFit="1" customWidth="1"/>
  </cols>
  <sheetData>
    <row r="1" spans="1:21" x14ac:dyDescent="0.35">
      <c r="A1" t="s">
        <v>159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155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</row>
    <row r="2" spans="1:21" x14ac:dyDescent="0.35">
      <c r="A2" s="2">
        <v>1</v>
      </c>
      <c r="B2" s="2" t="s">
        <v>35</v>
      </c>
      <c r="C2" s="2" t="s">
        <v>36</v>
      </c>
      <c r="D2" s="24">
        <v>6074</v>
      </c>
      <c r="E2" s="24">
        <v>6018</v>
      </c>
      <c r="F2" s="24">
        <v>5523</v>
      </c>
      <c r="G2" s="24">
        <v>28</v>
      </c>
      <c r="H2" s="24">
        <v>28</v>
      </c>
      <c r="I2" s="24">
        <v>819524007</v>
      </c>
      <c r="J2" s="24">
        <v>511968246.25</v>
      </c>
      <c r="K2" s="24">
        <v>727930909</v>
      </c>
      <c r="L2" s="24">
        <v>0</v>
      </c>
      <c r="M2" s="24">
        <v>727930909</v>
      </c>
      <c r="N2" s="24">
        <v>91593098</v>
      </c>
      <c r="O2" s="24">
        <v>16.638832210232959</v>
      </c>
      <c r="P2" s="24">
        <v>18.732440505189189</v>
      </c>
      <c r="Q2" s="24">
        <v>495</v>
      </c>
      <c r="R2" s="42">
        <v>8.2253240279162518E-2</v>
      </c>
      <c r="S2" s="42">
        <v>0.68666666666666665</v>
      </c>
      <c r="T2" s="42">
        <v>0.1933333333333333</v>
      </c>
      <c r="U2" s="42">
        <v>0.12</v>
      </c>
    </row>
    <row r="3" spans="1:21" x14ac:dyDescent="0.35">
      <c r="A3" s="2">
        <v>2</v>
      </c>
      <c r="B3" s="2" t="s">
        <v>38</v>
      </c>
      <c r="C3" s="2" t="s">
        <v>39</v>
      </c>
      <c r="D3" s="24">
        <v>6149</v>
      </c>
      <c r="E3" s="24">
        <v>6056</v>
      </c>
      <c r="F3" s="24">
        <v>5502</v>
      </c>
      <c r="G3" s="24">
        <v>27</v>
      </c>
      <c r="H3" s="24">
        <v>66</v>
      </c>
      <c r="I3" s="24">
        <v>1056679115.53</v>
      </c>
      <c r="J3" s="24">
        <v>665694127.36000001</v>
      </c>
      <c r="K3" s="24">
        <v>819834433.11000001</v>
      </c>
      <c r="L3" s="24">
        <v>0</v>
      </c>
      <c r="M3" s="24">
        <v>819834433.11000001</v>
      </c>
      <c r="N3" s="24">
        <v>236844682.41999999</v>
      </c>
      <c r="O3" s="24">
        <v>15.065105420532889</v>
      </c>
      <c r="P3" s="24">
        <v>19.417313579702991</v>
      </c>
      <c r="Q3" s="24">
        <v>554</v>
      </c>
      <c r="R3" s="42">
        <v>9.1479524438573309E-2</v>
      </c>
      <c r="S3" s="42">
        <v>0.57818181818181813</v>
      </c>
      <c r="T3" s="42">
        <v>0.26545454545454539</v>
      </c>
      <c r="U3" s="42">
        <v>0.16</v>
      </c>
    </row>
    <row r="4" spans="1:21" x14ac:dyDescent="0.35">
      <c r="A4" s="2">
        <v>3</v>
      </c>
      <c r="B4" s="2" t="s">
        <v>32</v>
      </c>
      <c r="C4" s="2" t="s">
        <v>33</v>
      </c>
      <c r="D4" s="24">
        <v>5990</v>
      </c>
      <c r="E4" s="24">
        <v>5795</v>
      </c>
      <c r="F4" s="24">
        <v>4968</v>
      </c>
      <c r="G4" s="24">
        <v>85</v>
      </c>
      <c r="H4" s="24">
        <v>110</v>
      </c>
      <c r="I4" s="24">
        <v>571294191.15999997</v>
      </c>
      <c r="J4" s="24">
        <v>469970591.77999997</v>
      </c>
      <c r="K4" s="24">
        <v>606188275.47000003</v>
      </c>
      <c r="L4" s="24">
        <v>0</v>
      </c>
      <c r="M4" s="24">
        <v>606188275.47000003</v>
      </c>
      <c r="N4" s="24">
        <v>-34894084.310000062</v>
      </c>
      <c r="O4" s="24">
        <v>14.93922028512822</v>
      </c>
      <c r="P4" s="24">
        <v>14.079272257016409</v>
      </c>
      <c r="Q4" s="24">
        <v>827</v>
      </c>
      <c r="R4" s="42">
        <v>0.142709232096635</v>
      </c>
      <c r="S4" s="42">
        <v>0.63071895424836599</v>
      </c>
      <c r="T4" s="42">
        <v>0.28431372549019612</v>
      </c>
      <c r="U4" s="42">
        <v>8.8235294117647065E-2</v>
      </c>
    </row>
    <row r="5" spans="1:21" x14ac:dyDescent="0.35">
      <c r="A5" s="2">
        <v>4</v>
      </c>
      <c r="B5" s="2" t="s">
        <v>16</v>
      </c>
      <c r="C5" s="2" t="s">
        <v>17</v>
      </c>
      <c r="D5" s="24">
        <v>5978</v>
      </c>
      <c r="E5" s="24">
        <v>5935</v>
      </c>
      <c r="F5" s="24">
        <v>5209</v>
      </c>
      <c r="G5" s="24">
        <v>13</v>
      </c>
      <c r="H5" s="24">
        <v>30</v>
      </c>
      <c r="I5" s="24">
        <v>629775816.09000003</v>
      </c>
      <c r="J5" s="24">
        <v>530265985.92000002</v>
      </c>
      <c r="K5" s="24">
        <v>661378391.33000004</v>
      </c>
      <c r="L5" s="24">
        <v>0</v>
      </c>
      <c r="M5" s="24">
        <v>661378391.33000004</v>
      </c>
      <c r="N5" s="24">
        <v>-31602575.24000001</v>
      </c>
      <c r="O5" s="24">
        <v>17.977976842515769</v>
      </c>
      <c r="P5" s="24">
        <v>17.118937035233799</v>
      </c>
      <c r="Q5" s="24">
        <v>726</v>
      </c>
      <c r="R5" s="42">
        <v>0.12232518955349619</v>
      </c>
      <c r="S5" s="42">
        <v>0.54545454545454541</v>
      </c>
      <c r="T5" s="42">
        <v>0.30113636363636359</v>
      </c>
      <c r="U5" s="42">
        <v>0.15340909090909091</v>
      </c>
    </row>
    <row r="6" spans="1:21" x14ac:dyDescent="0.35">
      <c r="A6" s="2">
        <v>5</v>
      </c>
      <c r="B6" s="2" t="s">
        <v>10</v>
      </c>
      <c r="C6" s="2" t="s">
        <v>11</v>
      </c>
      <c r="D6" s="24">
        <v>5904</v>
      </c>
      <c r="E6" s="24">
        <v>5865</v>
      </c>
      <c r="F6" s="24">
        <v>5187</v>
      </c>
      <c r="G6" s="24">
        <v>26</v>
      </c>
      <c r="H6" s="24">
        <v>13</v>
      </c>
      <c r="I6" s="24">
        <v>594646068.37</v>
      </c>
      <c r="J6" s="24">
        <v>523730632.81</v>
      </c>
      <c r="K6" s="24">
        <v>675273566.57000005</v>
      </c>
      <c r="L6" s="24">
        <v>0</v>
      </c>
      <c r="M6" s="24">
        <v>675273566.57000005</v>
      </c>
      <c r="N6" s="24">
        <v>-80627498.200000048</v>
      </c>
      <c r="O6" s="24">
        <v>17.182481534588739</v>
      </c>
      <c r="P6" s="24">
        <v>15.130897454319591</v>
      </c>
      <c r="Q6" s="24">
        <v>678</v>
      </c>
      <c r="R6" s="42">
        <v>0.1156010230179028</v>
      </c>
      <c r="S6" s="42">
        <v>0.45402298850574713</v>
      </c>
      <c r="T6" s="42">
        <v>0.39080459770114939</v>
      </c>
      <c r="U6" s="42">
        <v>0.15517241379310351</v>
      </c>
    </row>
    <row r="7" spans="1:21" x14ac:dyDescent="0.35">
      <c r="A7" s="2">
        <v>6</v>
      </c>
      <c r="B7" s="2" t="s">
        <v>90</v>
      </c>
      <c r="C7" s="2" t="s">
        <v>91</v>
      </c>
      <c r="D7" s="24">
        <v>7704</v>
      </c>
      <c r="E7" s="24">
        <v>7604</v>
      </c>
      <c r="F7" s="24">
        <v>6842</v>
      </c>
      <c r="G7" s="24">
        <v>18</v>
      </c>
      <c r="H7" s="24">
        <v>82</v>
      </c>
      <c r="I7" s="24">
        <v>1004438177.5599999</v>
      </c>
      <c r="J7" s="24">
        <v>721548784.92999995</v>
      </c>
      <c r="K7" s="24">
        <v>864799626</v>
      </c>
      <c r="L7" s="24">
        <v>0</v>
      </c>
      <c r="M7" s="24">
        <v>864799626</v>
      </c>
      <c r="N7" s="24">
        <v>139638551.56000009</v>
      </c>
      <c r="O7" s="24">
        <v>15.193634032104949</v>
      </c>
      <c r="P7" s="24">
        <v>17.64693880397342</v>
      </c>
      <c r="Q7" s="24">
        <v>762</v>
      </c>
      <c r="R7" s="42">
        <v>0.10021041557075221</v>
      </c>
      <c r="S7" s="42">
        <v>0.375</v>
      </c>
      <c r="T7" s="42">
        <v>0.58333333333333337</v>
      </c>
      <c r="U7" s="42">
        <v>5.2083333333333343E-2</v>
      </c>
    </row>
    <row r="8" spans="1:21" x14ac:dyDescent="0.35">
      <c r="A8" s="2">
        <v>7</v>
      </c>
      <c r="B8" s="2" t="s">
        <v>162</v>
      </c>
      <c r="C8" s="2" t="s">
        <v>163</v>
      </c>
      <c r="D8" s="24">
        <v>6602</v>
      </c>
      <c r="E8" s="24">
        <v>6549</v>
      </c>
      <c r="F8" s="24">
        <v>5661</v>
      </c>
      <c r="G8" s="24">
        <v>42</v>
      </c>
      <c r="H8" s="24">
        <v>11</v>
      </c>
      <c r="I8" s="24">
        <v>471877632.51999998</v>
      </c>
      <c r="J8" s="24">
        <v>556543084.76999998</v>
      </c>
      <c r="K8" s="24">
        <v>813934050.82000005</v>
      </c>
      <c r="L8" s="24">
        <v>0</v>
      </c>
      <c r="M8" s="24">
        <v>813934050.82000005</v>
      </c>
      <c r="N8" s="24">
        <v>-342056418.30000007</v>
      </c>
      <c r="O8" s="24">
        <v>23.159650151960509</v>
      </c>
      <c r="P8" s="24">
        <v>13.4267891516378</v>
      </c>
      <c r="Q8" s="24">
        <v>888</v>
      </c>
      <c r="R8" s="42">
        <v>0.13559322033898311</v>
      </c>
      <c r="S8" s="42">
        <v>0.45273631840796019</v>
      </c>
      <c r="T8" s="42">
        <v>0.41791044776119401</v>
      </c>
      <c r="U8" s="42">
        <v>0.1343283582089552</v>
      </c>
    </row>
    <row r="9" spans="1:21" x14ac:dyDescent="0.35">
      <c r="A9" s="2">
        <v>8</v>
      </c>
      <c r="B9" s="2" t="s">
        <v>289</v>
      </c>
      <c r="C9" s="2" t="s">
        <v>290</v>
      </c>
      <c r="D9" s="24">
        <v>7603</v>
      </c>
      <c r="E9" s="24">
        <v>6776</v>
      </c>
      <c r="F9" s="24">
        <v>6175</v>
      </c>
      <c r="G9" s="24">
        <v>1</v>
      </c>
      <c r="H9" s="24">
        <v>826</v>
      </c>
      <c r="I9" s="24">
        <v>616711293.58000004</v>
      </c>
      <c r="J9" s="24">
        <v>540078877.60000002</v>
      </c>
      <c r="K9" s="24">
        <v>775091741.38999999</v>
      </c>
      <c r="L9" s="24">
        <v>0</v>
      </c>
      <c r="M9" s="24">
        <v>775091741.38999999</v>
      </c>
      <c r="N9" s="24">
        <v>-158380447.80999991</v>
      </c>
      <c r="O9" s="24">
        <v>23.357925857669699</v>
      </c>
      <c r="P9" s="24">
        <v>18.585021490741251</v>
      </c>
      <c r="Q9" s="24">
        <v>601</v>
      </c>
      <c r="R9" s="42">
        <v>8.869539551357733E-2</v>
      </c>
      <c r="S9" s="42">
        <v>0.91666666666666663</v>
      </c>
      <c r="T9" s="42">
        <v>0</v>
      </c>
      <c r="U9" s="42">
        <v>0.16666666666666671</v>
      </c>
    </row>
    <row r="10" spans="1:21" x14ac:dyDescent="0.35">
      <c r="A10" s="2">
        <v>9</v>
      </c>
      <c r="B10" s="2" t="s">
        <v>125</v>
      </c>
      <c r="C10" s="2" t="s">
        <v>126</v>
      </c>
      <c r="D10" s="24">
        <v>7198</v>
      </c>
      <c r="E10" s="24">
        <v>7057</v>
      </c>
      <c r="F10" s="24">
        <v>6556</v>
      </c>
      <c r="G10" s="24">
        <v>35</v>
      </c>
      <c r="H10" s="24">
        <v>106</v>
      </c>
      <c r="I10" s="24">
        <v>922453340.79999995</v>
      </c>
      <c r="J10" s="24">
        <v>581000740.25999999</v>
      </c>
      <c r="K10" s="24">
        <v>746430744.35000002</v>
      </c>
      <c r="L10" s="24">
        <v>0</v>
      </c>
      <c r="M10" s="24">
        <v>746430744.35000002</v>
      </c>
      <c r="N10" s="24">
        <v>176022596.4499999</v>
      </c>
      <c r="O10" s="24">
        <v>14.48511704555043</v>
      </c>
      <c r="P10" s="24">
        <v>17.900983730490179</v>
      </c>
      <c r="Q10" s="24">
        <v>501</v>
      </c>
      <c r="R10" s="42">
        <v>7.0993339946152756E-2</v>
      </c>
      <c r="S10" s="42">
        <v>0.58789625360230546</v>
      </c>
      <c r="T10" s="42">
        <v>0.27665706051873201</v>
      </c>
      <c r="U10" s="42">
        <v>0.1354466858789625</v>
      </c>
    </row>
    <row r="11" spans="1:21" x14ac:dyDescent="0.35">
      <c r="A11" s="2">
        <v>10</v>
      </c>
      <c r="B11" s="2" t="s">
        <v>132</v>
      </c>
      <c r="C11" s="2" t="s">
        <v>133</v>
      </c>
      <c r="D11" s="24">
        <v>7235</v>
      </c>
      <c r="E11" s="24">
        <v>6945</v>
      </c>
      <c r="F11" s="24">
        <v>6442</v>
      </c>
      <c r="G11" s="24">
        <v>4</v>
      </c>
      <c r="H11" s="24">
        <v>286</v>
      </c>
      <c r="I11" s="24">
        <v>881242961.11000001</v>
      </c>
      <c r="J11" s="24">
        <v>555767033.10000002</v>
      </c>
      <c r="K11" s="24">
        <v>677899816.01999998</v>
      </c>
      <c r="L11" s="24">
        <v>0</v>
      </c>
      <c r="M11" s="24">
        <v>677899816.01999998</v>
      </c>
      <c r="N11" s="24">
        <v>203343145.09</v>
      </c>
      <c r="O11" s="24">
        <v>15.53247327205451</v>
      </c>
      <c r="P11" s="24">
        <v>20.191601201472249</v>
      </c>
      <c r="Q11" s="24">
        <v>503</v>
      </c>
      <c r="R11" s="42">
        <v>7.2426205903527718E-2</v>
      </c>
      <c r="S11" s="42">
        <v>0.81369863013698629</v>
      </c>
      <c r="T11" s="42">
        <v>0.18630136986301371</v>
      </c>
      <c r="U11" s="42">
        <v>3.0136986301369861E-2</v>
      </c>
    </row>
    <row r="12" spans="1:21" x14ac:dyDescent="0.35">
      <c r="A12" s="2">
        <v>11</v>
      </c>
      <c r="B12" s="2" t="s">
        <v>128</v>
      </c>
      <c r="C12" s="2" t="s">
        <v>129</v>
      </c>
      <c r="D12" s="24">
        <v>7267</v>
      </c>
      <c r="E12" s="24">
        <v>7137</v>
      </c>
      <c r="F12" s="24">
        <v>6585</v>
      </c>
      <c r="G12" s="24">
        <v>40</v>
      </c>
      <c r="H12" s="24">
        <v>90</v>
      </c>
      <c r="I12" s="24">
        <v>1019976015.17</v>
      </c>
      <c r="J12" s="24">
        <v>557740151.25</v>
      </c>
      <c r="K12" s="24">
        <v>734268478.89999998</v>
      </c>
      <c r="L12" s="24">
        <v>0</v>
      </c>
      <c r="M12" s="24">
        <v>734268478.89999998</v>
      </c>
      <c r="N12" s="24">
        <v>285707536.26999998</v>
      </c>
      <c r="O12" s="24">
        <v>12.93152216340833</v>
      </c>
      <c r="P12" s="24">
        <v>17.963242091060931</v>
      </c>
      <c r="Q12" s="24">
        <v>552</v>
      </c>
      <c r="R12" s="42">
        <v>7.7343421605716695E-2</v>
      </c>
      <c r="S12" s="42">
        <v>0.5846645367412141</v>
      </c>
      <c r="T12" s="42">
        <v>0.2364217252396166</v>
      </c>
      <c r="U12" s="42">
        <v>0.1821086261980831</v>
      </c>
    </row>
    <row r="13" spans="1:21" x14ac:dyDescent="0.35">
      <c r="A13" s="2">
        <v>12</v>
      </c>
      <c r="B13" s="2" t="s">
        <v>46</v>
      </c>
      <c r="C13" s="2" t="s">
        <v>47</v>
      </c>
      <c r="D13" s="24">
        <v>7663</v>
      </c>
      <c r="E13" s="24">
        <v>7493</v>
      </c>
      <c r="F13" s="24">
        <v>6782</v>
      </c>
      <c r="G13" s="24">
        <v>32</v>
      </c>
      <c r="H13" s="24">
        <v>138</v>
      </c>
      <c r="I13" s="24">
        <v>947458275.96000004</v>
      </c>
      <c r="J13" s="24">
        <v>723781161.92999995</v>
      </c>
      <c r="K13" s="24">
        <v>892503541.99000001</v>
      </c>
      <c r="L13" s="24">
        <v>0</v>
      </c>
      <c r="M13" s="24">
        <v>892503541.99000001</v>
      </c>
      <c r="N13" s="24">
        <v>54954733.970000029</v>
      </c>
      <c r="O13" s="24">
        <v>15.40505741191329</v>
      </c>
      <c r="P13" s="24">
        <v>16.353603599166139</v>
      </c>
      <c r="Q13" s="24">
        <v>711</v>
      </c>
      <c r="R13" s="42">
        <v>9.4888562658481251E-2</v>
      </c>
      <c r="S13" s="42">
        <v>0.56083086053412468</v>
      </c>
      <c r="T13" s="42">
        <v>0.27002967359050439</v>
      </c>
      <c r="U13" s="42">
        <v>0.1691394658753709</v>
      </c>
    </row>
    <row r="14" spans="1:21" x14ac:dyDescent="0.35">
      <c r="A14" s="2">
        <v>13</v>
      </c>
      <c r="B14" s="2" t="s">
        <v>107</v>
      </c>
      <c r="C14" s="2" t="s">
        <v>108</v>
      </c>
      <c r="D14" s="24">
        <v>7329</v>
      </c>
      <c r="E14" s="24">
        <v>7236</v>
      </c>
      <c r="F14" s="24">
        <v>6548</v>
      </c>
      <c r="G14" s="24">
        <v>1</v>
      </c>
      <c r="H14" s="24">
        <v>92</v>
      </c>
      <c r="I14" s="24">
        <v>952277345.63999999</v>
      </c>
      <c r="J14" s="24">
        <v>725929475.54999995</v>
      </c>
      <c r="K14" s="24">
        <v>867143920.64999998</v>
      </c>
      <c r="L14" s="24">
        <v>0</v>
      </c>
      <c r="M14" s="24">
        <v>867143920.64999998</v>
      </c>
      <c r="N14" s="24">
        <v>85133424.99000001</v>
      </c>
      <c r="O14" s="24">
        <v>15.51543755144243</v>
      </c>
      <c r="P14" s="24">
        <v>17.03869373477891</v>
      </c>
      <c r="Q14" s="24">
        <v>688</v>
      </c>
      <c r="R14" s="42">
        <v>9.5080154781647316E-2</v>
      </c>
      <c r="S14" s="42">
        <v>1</v>
      </c>
      <c r="T14" s="42">
        <v>0</v>
      </c>
      <c r="U14" s="42">
        <v>0</v>
      </c>
    </row>
    <row r="15" spans="1:21" x14ac:dyDescent="0.35">
      <c r="A15" s="2">
        <v>14</v>
      </c>
      <c r="B15" s="2" t="s">
        <v>55</v>
      </c>
      <c r="C15" s="2" t="s">
        <v>56</v>
      </c>
      <c r="D15" s="24">
        <v>7583</v>
      </c>
      <c r="E15" s="24">
        <v>7431</v>
      </c>
      <c r="F15" s="24">
        <v>6710</v>
      </c>
      <c r="G15" s="24">
        <v>29</v>
      </c>
      <c r="H15" s="24">
        <v>123</v>
      </c>
      <c r="I15" s="24">
        <v>974723121.71000004</v>
      </c>
      <c r="J15" s="24">
        <v>775267724.30999994</v>
      </c>
      <c r="K15" s="24">
        <v>906364805.26999998</v>
      </c>
      <c r="L15" s="24">
        <v>0</v>
      </c>
      <c r="M15" s="24">
        <v>906364805.26999998</v>
      </c>
      <c r="N15" s="24">
        <v>68358316.440000057</v>
      </c>
      <c r="O15" s="24">
        <v>13.824479539989539</v>
      </c>
      <c r="P15" s="24">
        <v>14.86712610075422</v>
      </c>
      <c r="Q15" s="24">
        <v>721</v>
      </c>
      <c r="R15" s="42">
        <v>9.702597227829364E-2</v>
      </c>
      <c r="S15" s="42">
        <v>0.65982404692082108</v>
      </c>
      <c r="T15" s="42">
        <v>0.2404692082111437</v>
      </c>
      <c r="U15" s="42">
        <v>9.9706744868035185E-2</v>
      </c>
    </row>
    <row r="16" spans="1:21" x14ac:dyDescent="0.35">
      <c r="A16" s="2">
        <v>15</v>
      </c>
      <c r="B16" s="2" t="s">
        <v>81</v>
      </c>
      <c r="C16" s="2" t="s">
        <v>82</v>
      </c>
      <c r="D16" s="24">
        <v>7245</v>
      </c>
      <c r="E16" s="24">
        <v>7102</v>
      </c>
      <c r="F16" s="24">
        <v>6515</v>
      </c>
      <c r="G16" s="24">
        <v>31</v>
      </c>
      <c r="H16" s="24">
        <v>112</v>
      </c>
      <c r="I16" s="24">
        <v>882775102.53999996</v>
      </c>
      <c r="J16" s="24">
        <v>679535776.33000004</v>
      </c>
      <c r="K16" s="24">
        <v>917046671.85000002</v>
      </c>
      <c r="L16" s="24">
        <v>0</v>
      </c>
      <c r="M16" s="24">
        <v>917046671.85000002</v>
      </c>
      <c r="N16" s="24">
        <v>-34271569.310000062</v>
      </c>
      <c r="O16" s="24">
        <v>19.341473863666891</v>
      </c>
      <c r="P16" s="24">
        <v>18.618650606766568</v>
      </c>
      <c r="Q16" s="24">
        <v>587</v>
      </c>
      <c r="R16" s="42">
        <v>8.2652773866516469E-2</v>
      </c>
      <c r="S16" s="42">
        <v>0.42079207920792078</v>
      </c>
      <c r="T16" s="42">
        <v>0.39603960396039611</v>
      </c>
      <c r="U16" s="42">
        <v>0.1930693069306931</v>
      </c>
    </row>
    <row r="17" spans="1:21" x14ac:dyDescent="0.35">
      <c r="A17" s="2">
        <v>16</v>
      </c>
      <c r="B17" s="2" t="s">
        <v>138</v>
      </c>
      <c r="C17" s="2" t="s">
        <v>139</v>
      </c>
      <c r="D17" s="24">
        <v>6633</v>
      </c>
      <c r="E17" s="24">
        <v>6576</v>
      </c>
      <c r="F17" s="24">
        <v>6189</v>
      </c>
      <c r="G17" s="24">
        <v>36</v>
      </c>
      <c r="H17" s="24">
        <v>21</v>
      </c>
      <c r="I17" s="24">
        <v>729505752.80999994</v>
      </c>
      <c r="J17" s="24">
        <v>542862012.83000004</v>
      </c>
      <c r="K17" s="24">
        <v>692724932.60000002</v>
      </c>
      <c r="L17" s="24">
        <v>0</v>
      </c>
      <c r="M17" s="24">
        <v>692724932.60000002</v>
      </c>
      <c r="N17" s="24">
        <v>36780820.209999919</v>
      </c>
      <c r="O17" s="24">
        <v>16.712502658150068</v>
      </c>
      <c r="P17" s="24">
        <v>17.599867218887649</v>
      </c>
      <c r="Q17" s="24">
        <v>387</v>
      </c>
      <c r="R17" s="42">
        <v>5.8850364963503647E-2</v>
      </c>
      <c r="S17" s="42">
        <v>0.38521400778210119</v>
      </c>
      <c r="T17" s="42">
        <v>0.44357976653696501</v>
      </c>
      <c r="U17" s="42">
        <v>0.17120622568093391</v>
      </c>
    </row>
    <row r="18" spans="1:21" x14ac:dyDescent="0.35">
      <c r="A18" s="2">
        <v>17</v>
      </c>
      <c r="B18" s="2" t="s">
        <v>71</v>
      </c>
      <c r="C18" s="2" t="s">
        <v>72</v>
      </c>
      <c r="D18" s="24">
        <v>7936</v>
      </c>
      <c r="E18" s="24">
        <v>7913</v>
      </c>
      <c r="F18" s="24">
        <v>7101</v>
      </c>
      <c r="G18" s="24">
        <v>18</v>
      </c>
      <c r="H18" s="24">
        <v>5</v>
      </c>
      <c r="I18" s="24">
        <v>919507868.69000006</v>
      </c>
      <c r="J18" s="24">
        <v>695342296.38</v>
      </c>
      <c r="K18" s="24">
        <v>870281260.83000004</v>
      </c>
      <c r="L18" s="24">
        <v>0</v>
      </c>
      <c r="M18" s="24">
        <v>870281260.83000004</v>
      </c>
      <c r="N18" s="24">
        <v>49226607.860000007</v>
      </c>
      <c r="O18" s="24">
        <v>20.93758436232439</v>
      </c>
      <c r="P18" s="24">
        <v>22.12189833222055</v>
      </c>
      <c r="Q18" s="24">
        <v>812</v>
      </c>
      <c r="R18" s="42">
        <v>0.1026159484392771</v>
      </c>
      <c r="S18" s="42">
        <v>0.55477031802120136</v>
      </c>
      <c r="T18" s="42">
        <v>0.44169611307420492</v>
      </c>
      <c r="U18" s="42">
        <v>3.53356890459364E-3</v>
      </c>
    </row>
    <row r="19" spans="1:21" x14ac:dyDescent="0.35">
      <c r="A19" s="2">
        <v>18</v>
      </c>
      <c r="B19" s="2" t="s">
        <v>75</v>
      </c>
      <c r="C19" s="2" t="s">
        <v>76</v>
      </c>
      <c r="D19" s="24">
        <v>7985</v>
      </c>
      <c r="E19" s="24">
        <v>7909</v>
      </c>
      <c r="F19" s="24">
        <v>7109</v>
      </c>
      <c r="G19" s="24">
        <v>29</v>
      </c>
      <c r="H19" s="24">
        <v>47</v>
      </c>
      <c r="I19" s="24">
        <v>971778542.73000002</v>
      </c>
      <c r="J19" s="24">
        <v>703572526.04999995</v>
      </c>
      <c r="K19" s="24">
        <v>882670668.66999996</v>
      </c>
      <c r="L19" s="24">
        <v>0</v>
      </c>
      <c r="M19" s="24">
        <v>882670668.66999996</v>
      </c>
      <c r="N19" s="24">
        <v>89107874.060000062</v>
      </c>
      <c r="O19" s="24">
        <v>19.132245081586831</v>
      </c>
      <c r="P19" s="24">
        <v>21.063694426996619</v>
      </c>
      <c r="Q19" s="24">
        <v>800</v>
      </c>
      <c r="R19" s="42">
        <v>0.1011505879377924</v>
      </c>
      <c r="S19" s="42">
        <v>0.55287009063444104</v>
      </c>
      <c r="T19" s="42">
        <v>0.34138972809667673</v>
      </c>
      <c r="U19" s="42">
        <v>0.1057401812688822</v>
      </c>
    </row>
    <row r="20" spans="1:21" x14ac:dyDescent="0.35">
      <c r="A20" s="2">
        <v>19</v>
      </c>
      <c r="B20" s="2" t="s">
        <v>43</v>
      </c>
      <c r="C20" s="2" t="s">
        <v>44</v>
      </c>
      <c r="D20" s="24">
        <v>7899</v>
      </c>
      <c r="E20" s="24">
        <v>7814</v>
      </c>
      <c r="F20" s="24">
        <v>7017</v>
      </c>
      <c r="G20" s="24">
        <v>25</v>
      </c>
      <c r="H20" s="24">
        <v>60</v>
      </c>
      <c r="I20" s="24">
        <v>977992463.57000005</v>
      </c>
      <c r="J20" s="24">
        <v>634177609.23000002</v>
      </c>
      <c r="K20" s="24">
        <v>882269364.08000004</v>
      </c>
      <c r="L20" s="24">
        <v>0</v>
      </c>
      <c r="M20" s="24">
        <v>882269364.08000004</v>
      </c>
      <c r="N20" s="24">
        <v>95723099.49000001</v>
      </c>
      <c r="O20" s="24">
        <v>16.89735113397326</v>
      </c>
      <c r="P20" s="24">
        <v>18.730653852583941</v>
      </c>
      <c r="Q20" s="24">
        <v>797</v>
      </c>
      <c r="R20" s="42">
        <v>0.1019964166879959</v>
      </c>
      <c r="S20" s="42">
        <v>0.59226190476190477</v>
      </c>
      <c r="T20" s="42">
        <v>0.29761904761904762</v>
      </c>
      <c r="U20" s="42">
        <v>0.1101190476190476</v>
      </c>
    </row>
    <row r="21" spans="1:21" x14ac:dyDescent="0.35">
      <c r="A21" s="2">
        <v>20</v>
      </c>
      <c r="B21" s="2" t="s">
        <v>109</v>
      </c>
      <c r="C21" s="2" t="s">
        <v>110</v>
      </c>
      <c r="D21" s="24">
        <v>7818</v>
      </c>
      <c r="E21" s="24">
        <v>7692</v>
      </c>
      <c r="F21" s="24">
        <v>7025</v>
      </c>
      <c r="G21" s="24">
        <v>25</v>
      </c>
      <c r="H21" s="24">
        <v>101</v>
      </c>
      <c r="I21" s="24">
        <v>974822493.60000002</v>
      </c>
      <c r="J21" s="24">
        <v>762248557.10000002</v>
      </c>
      <c r="K21" s="24">
        <v>900761409.03999996</v>
      </c>
      <c r="L21" s="24">
        <v>0</v>
      </c>
      <c r="M21" s="24">
        <v>900761409.03999996</v>
      </c>
      <c r="N21" s="24">
        <v>74061084.560000062</v>
      </c>
      <c r="O21" s="24">
        <v>15.352139905549031</v>
      </c>
      <c r="P21" s="24">
        <v>16.614401055184189</v>
      </c>
      <c r="Q21" s="24">
        <v>667</v>
      </c>
      <c r="R21" s="42">
        <v>8.6713468538741553E-2</v>
      </c>
      <c r="S21" s="42">
        <v>0.4795539033457249</v>
      </c>
      <c r="T21" s="42">
        <v>0.36431226765799257</v>
      </c>
      <c r="U21" s="42">
        <v>0.1561338289962825</v>
      </c>
    </row>
    <row r="22" spans="1:21" x14ac:dyDescent="0.35">
      <c r="A22" s="2">
        <v>21</v>
      </c>
      <c r="B22" s="2" t="s">
        <v>95</v>
      </c>
      <c r="C22" s="2" t="s">
        <v>96</v>
      </c>
      <c r="D22" s="24">
        <v>7904</v>
      </c>
      <c r="E22" s="24">
        <v>7783</v>
      </c>
      <c r="F22" s="24">
        <v>7112</v>
      </c>
      <c r="G22" s="24">
        <v>18</v>
      </c>
      <c r="H22" s="24">
        <v>103</v>
      </c>
      <c r="I22" s="24">
        <v>1061816497.33</v>
      </c>
      <c r="J22" s="24">
        <v>803632220.09000003</v>
      </c>
      <c r="K22" s="24">
        <v>926384190.98000002</v>
      </c>
      <c r="L22" s="24">
        <v>0</v>
      </c>
      <c r="M22" s="24">
        <v>926384190.98000002</v>
      </c>
      <c r="N22" s="24">
        <v>135432306.34999999</v>
      </c>
      <c r="O22" s="24">
        <v>15.733508605821299</v>
      </c>
      <c r="P22" s="24">
        <v>18.033661585774251</v>
      </c>
      <c r="Q22" s="24">
        <v>671</v>
      </c>
      <c r="R22" s="42">
        <v>8.6213542335860205E-2</v>
      </c>
      <c r="S22" s="42">
        <v>0.51937984496124034</v>
      </c>
      <c r="T22" s="42">
        <v>0.33720930232558138</v>
      </c>
      <c r="U22" s="42">
        <v>0.15503875968992251</v>
      </c>
    </row>
    <row r="23" spans="1:21" x14ac:dyDescent="0.35">
      <c r="A23" s="2">
        <v>22</v>
      </c>
      <c r="B23" s="2" t="s">
        <v>115</v>
      </c>
      <c r="C23" s="2" t="s">
        <v>116</v>
      </c>
      <c r="D23" s="24">
        <v>7725</v>
      </c>
      <c r="E23" s="24">
        <v>7637</v>
      </c>
      <c r="F23" s="24">
        <v>7003</v>
      </c>
      <c r="G23" s="24">
        <v>2</v>
      </c>
      <c r="H23" s="24">
        <v>86</v>
      </c>
      <c r="I23" s="24">
        <v>1000869959.46</v>
      </c>
      <c r="J23" s="24">
        <v>779770083.39999998</v>
      </c>
      <c r="K23" s="24">
        <v>927625671.62</v>
      </c>
      <c r="L23" s="24">
        <v>0</v>
      </c>
      <c r="M23" s="24">
        <v>927625671.62</v>
      </c>
      <c r="N23" s="24">
        <v>73244287.840000033</v>
      </c>
      <c r="O23" s="24">
        <v>14.36634237822247</v>
      </c>
      <c r="P23" s="24">
        <v>15.5006927401749</v>
      </c>
      <c r="Q23" s="24">
        <v>634</v>
      </c>
      <c r="R23" s="42">
        <v>8.3016891449522068E-2</v>
      </c>
      <c r="S23" s="42">
        <v>1</v>
      </c>
      <c r="T23" s="42">
        <v>0</v>
      </c>
      <c r="U23" s="42">
        <v>0</v>
      </c>
    </row>
    <row r="24" spans="1:21" x14ac:dyDescent="0.35">
      <c r="A24" s="2">
        <v>23</v>
      </c>
      <c r="B24" s="2" t="s">
        <v>121</v>
      </c>
      <c r="C24" s="2" t="s">
        <v>122</v>
      </c>
      <c r="D24" s="24">
        <v>7853</v>
      </c>
      <c r="E24" s="24">
        <v>7752</v>
      </c>
      <c r="F24" s="24">
        <v>7030</v>
      </c>
      <c r="G24" s="24">
        <v>28</v>
      </c>
      <c r="H24" s="24">
        <v>73</v>
      </c>
      <c r="I24" s="24">
        <v>897230273.87</v>
      </c>
      <c r="J24" s="24">
        <v>712627893.76999998</v>
      </c>
      <c r="K24" s="24">
        <v>743795026.36000001</v>
      </c>
      <c r="L24" s="24">
        <v>0</v>
      </c>
      <c r="M24" s="24">
        <v>743795026.36000001</v>
      </c>
      <c r="N24" s="24">
        <v>153435247.50999999</v>
      </c>
      <c r="O24" s="24">
        <v>14.24529091648116</v>
      </c>
      <c r="P24" s="24">
        <v>17.18390929944993</v>
      </c>
      <c r="Q24" s="24">
        <v>722</v>
      </c>
      <c r="R24" s="42">
        <v>9.3137254901960786E-2</v>
      </c>
      <c r="S24" s="42">
        <v>0.66242038216560506</v>
      </c>
      <c r="T24" s="42">
        <v>0.22292993630573249</v>
      </c>
      <c r="U24" s="42">
        <v>0.11464968152866239</v>
      </c>
    </row>
    <row r="25" spans="1:21" x14ac:dyDescent="0.35">
      <c r="A25" s="2">
        <v>24</v>
      </c>
      <c r="B25" s="2" t="s">
        <v>101</v>
      </c>
      <c r="C25" s="2" t="s">
        <v>102</v>
      </c>
      <c r="D25" s="24">
        <v>7972</v>
      </c>
      <c r="E25" s="24">
        <v>7828</v>
      </c>
      <c r="F25" s="24">
        <v>7187</v>
      </c>
      <c r="G25" s="24">
        <v>21</v>
      </c>
      <c r="H25" s="24">
        <v>123</v>
      </c>
      <c r="I25" s="24">
        <v>995034090.97000003</v>
      </c>
      <c r="J25" s="24">
        <v>726617307.21000004</v>
      </c>
      <c r="K25" s="24">
        <v>850457530.46000004</v>
      </c>
      <c r="L25" s="24">
        <v>0</v>
      </c>
      <c r="M25" s="24">
        <v>850457530.46000004</v>
      </c>
      <c r="N25" s="24">
        <v>144576560.50999999</v>
      </c>
      <c r="O25" s="24">
        <v>23.959584017568801</v>
      </c>
      <c r="P25" s="24">
        <v>28.03267893935384</v>
      </c>
      <c r="Q25" s="24">
        <v>641</v>
      </c>
      <c r="R25" s="42">
        <v>8.1885539090444562E-2</v>
      </c>
      <c r="S25" s="42">
        <v>0.38271604938271597</v>
      </c>
      <c r="T25" s="42">
        <v>0.4567901234567901</v>
      </c>
      <c r="U25" s="42">
        <v>0.16049382716049379</v>
      </c>
    </row>
    <row r="26" spans="1:21" x14ac:dyDescent="0.35">
      <c r="A26" s="2">
        <v>25</v>
      </c>
      <c r="B26" s="2" t="s">
        <v>83</v>
      </c>
      <c r="C26" s="2" t="s">
        <v>84</v>
      </c>
      <c r="D26" s="24">
        <v>8010</v>
      </c>
      <c r="E26" s="24">
        <v>7834</v>
      </c>
      <c r="F26" s="24">
        <v>7111</v>
      </c>
      <c r="G26" s="24">
        <v>35</v>
      </c>
      <c r="H26" s="24">
        <v>141</v>
      </c>
      <c r="I26" s="24">
        <v>1117588610.76</v>
      </c>
      <c r="J26" s="24">
        <v>838688847.33000004</v>
      </c>
      <c r="K26" s="24">
        <v>999958173.45000005</v>
      </c>
      <c r="L26" s="24">
        <v>0</v>
      </c>
      <c r="M26" s="24">
        <v>999958173.45000005</v>
      </c>
      <c r="N26" s="24">
        <v>117630437.3099999</v>
      </c>
      <c r="O26" s="24">
        <v>14.85807710998618</v>
      </c>
      <c r="P26" s="24">
        <v>16.605912323936529</v>
      </c>
      <c r="Q26" s="24">
        <v>723</v>
      </c>
      <c r="R26" s="42">
        <v>9.2290017870819502E-2</v>
      </c>
      <c r="S26" s="42">
        <v>0.53252032520325199</v>
      </c>
      <c r="T26" s="42">
        <v>0.30081300813008133</v>
      </c>
      <c r="U26" s="42">
        <v>0.16666666666666671</v>
      </c>
    </row>
    <row r="27" spans="1:21" x14ac:dyDescent="0.35">
      <c r="A27" s="2">
        <v>26</v>
      </c>
      <c r="B27" s="2" t="s">
        <v>134</v>
      </c>
      <c r="C27" s="2" t="s">
        <v>135</v>
      </c>
      <c r="D27" s="24">
        <v>7779</v>
      </c>
      <c r="E27" s="24">
        <v>7692</v>
      </c>
      <c r="F27" s="24">
        <v>6948</v>
      </c>
      <c r="G27" s="24">
        <v>2</v>
      </c>
      <c r="H27" s="24">
        <v>85</v>
      </c>
      <c r="I27" s="24">
        <v>1059044688.9400001</v>
      </c>
      <c r="J27" s="24">
        <v>682052661.70000005</v>
      </c>
      <c r="K27" s="24">
        <v>794859603.26999998</v>
      </c>
      <c r="L27" s="24">
        <v>0</v>
      </c>
      <c r="M27" s="24">
        <v>794859603.26999998</v>
      </c>
      <c r="N27" s="24">
        <v>264185085.67000011</v>
      </c>
      <c r="O27" s="24">
        <v>13.19339451242635</v>
      </c>
      <c r="P27" s="24">
        <v>17.578443199269099</v>
      </c>
      <c r="Q27" s="24">
        <v>744</v>
      </c>
      <c r="R27" s="42">
        <v>9.6723868954758194E-2</v>
      </c>
      <c r="S27" s="42">
        <v>1</v>
      </c>
      <c r="T27" s="42">
        <v>0</v>
      </c>
      <c r="U27" s="42">
        <v>0</v>
      </c>
    </row>
    <row r="28" spans="1:21" x14ac:dyDescent="0.35">
      <c r="A28" s="2">
        <v>27</v>
      </c>
      <c r="B28" s="2" t="s">
        <v>57</v>
      </c>
      <c r="C28" s="2" t="s">
        <v>58</v>
      </c>
      <c r="D28" s="24">
        <v>7635</v>
      </c>
      <c r="E28" s="24">
        <v>7546</v>
      </c>
      <c r="F28" s="24">
        <v>6727</v>
      </c>
      <c r="G28" s="24">
        <v>26</v>
      </c>
      <c r="H28" s="24">
        <v>63</v>
      </c>
      <c r="I28" s="24">
        <v>820939498.61000001</v>
      </c>
      <c r="J28" s="24">
        <v>686540631.98000002</v>
      </c>
      <c r="K28" s="24">
        <v>779189244.36000001</v>
      </c>
      <c r="L28" s="24">
        <v>0</v>
      </c>
      <c r="M28" s="24">
        <v>779189244.36000001</v>
      </c>
      <c r="N28" s="24">
        <v>41750254.25</v>
      </c>
      <c r="O28" s="24">
        <v>23.416309545286079</v>
      </c>
      <c r="P28" s="24">
        <v>24.670994314344188</v>
      </c>
      <c r="Q28" s="24">
        <v>819</v>
      </c>
      <c r="R28" s="42">
        <v>0.1085343228200371</v>
      </c>
      <c r="S28" s="42">
        <v>0.32203389830508472</v>
      </c>
      <c r="T28" s="42">
        <v>0.44067796610169491</v>
      </c>
      <c r="U28" s="42">
        <v>0.23728813559322029</v>
      </c>
    </row>
    <row r="29" spans="1:21" x14ac:dyDescent="0.35">
      <c r="A29" s="2">
        <v>28</v>
      </c>
      <c r="B29" s="2" t="s">
        <v>41</v>
      </c>
      <c r="C29" s="2" t="s">
        <v>42</v>
      </c>
      <c r="D29" s="24">
        <v>7671</v>
      </c>
      <c r="E29" s="24">
        <v>7617</v>
      </c>
      <c r="F29" s="24">
        <v>6763</v>
      </c>
      <c r="G29" s="24">
        <v>29</v>
      </c>
      <c r="H29" s="24">
        <v>25</v>
      </c>
      <c r="I29" s="24">
        <v>840816675.12</v>
      </c>
      <c r="J29" s="24">
        <v>731200658.28999996</v>
      </c>
      <c r="K29" s="24">
        <v>826658808.96000004</v>
      </c>
      <c r="L29" s="24">
        <v>0</v>
      </c>
      <c r="M29" s="24">
        <v>826658808.96000004</v>
      </c>
      <c r="N29" s="24">
        <v>14157866.15999997</v>
      </c>
      <c r="O29" s="24">
        <v>18.181346540462901</v>
      </c>
      <c r="P29" s="24">
        <v>18.492731440906031</v>
      </c>
      <c r="Q29" s="24">
        <v>854</v>
      </c>
      <c r="R29" s="42">
        <v>0.1121176316134961</v>
      </c>
      <c r="S29" s="42">
        <v>0.61403508771929827</v>
      </c>
      <c r="T29" s="42">
        <v>0.2807017543859649</v>
      </c>
      <c r="U29" s="42">
        <v>0.10526315789473679</v>
      </c>
    </row>
    <row r="30" spans="1:21" x14ac:dyDescent="0.35">
      <c r="A30" s="2">
        <v>29</v>
      </c>
      <c r="B30" s="2" t="s">
        <v>77</v>
      </c>
      <c r="C30" s="2" t="s">
        <v>78</v>
      </c>
      <c r="D30" s="24">
        <v>7538</v>
      </c>
      <c r="E30" s="24">
        <v>7451</v>
      </c>
      <c r="F30" s="24">
        <v>6733</v>
      </c>
      <c r="G30" s="24">
        <v>33</v>
      </c>
      <c r="H30" s="24">
        <v>54</v>
      </c>
      <c r="I30" s="24">
        <v>971560675.50999999</v>
      </c>
      <c r="J30" s="24">
        <v>705822579.89999998</v>
      </c>
      <c r="K30" s="24">
        <v>825753555.69000006</v>
      </c>
      <c r="L30" s="24">
        <v>0</v>
      </c>
      <c r="M30" s="24">
        <v>825753555.69000006</v>
      </c>
      <c r="N30" s="24">
        <v>145807119.8199999</v>
      </c>
      <c r="O30" s="24">
        <v>18.826680740320519</v>
      </c>
      <c r="P30" s="24">
        <v>22.1509947267411</v>
      </c>
      <c r="Q30" s="24">
        <v>718</v>
      </c>
      <c r="R30" s="42">
        <v>9.6362904308146563E-2</v>
      </c>
      <c r="S30" s="42">
        <v>0.36150234741784038</v>
      </c>
      <c r="T30" s="42">
        <v>0.4460093896713615</v>
      </c>
      <c r="U30" s="42">
        <v>0.1924882629107981</v>
      </c>
    </row>
    <row r="31" spans="1:21" x14ac:dyDescent="0.35">
      <c r="A31" s="2">
        <v>30</v>
      </c>
      <c r="B31" s="2" t="s">
        <v>105</v>
      </c>
      <c r="C31" s="2" t="s">
        <v>106</v>
      </c>
      <c r="D31" s="24">
        <v>7558</v>
      </c>
      <c r="E31" s="24">
        <v>7551</v>
      </c>
      <c r="F31" s="24">
        <v>6848</v>
      </c>
      <c r="G31" s="24">
        <v>2</v>
      </c>
      <c r="H31" s="24">
        <v>5</v>
      </c>
      <c r="I31" s="24">
        <v>1014935965.41</v>
      </c>
      <c r="J31" s="24">
        <v>746382781.89999998</v>
      </c>
      <c r="K31" s="24">
        <v>850316656.5</v>
      </c>
      <c r="L31" s="24">
        <v>0</v>
      </c>
      <c r="M31" s="24">
        <v>850316656.5</v>
      </c>
      <c r="N31" s="24">
        <v>164619308.91</v>
      </c>
      <c r="O31" s="24">
        <v>17.924915360391982</v>
      </c>
      <c r="P31" s="24">
        <v>21.395136902380521</v>
      </c>
      <c r="Q31" s="24">
        <v>703</v>
      </c>
      <c r="R31" s="42">
        <v>9.3100251622301677E-2</v>
      </c>
      <c r="S31" s="42">
        <v>1</v>
      </c>
      <c r="T31" s="42">
        <v>0</v>
      </c>
      <c r="U31" s="42">
        <v>0</v>
      </c>
    </row>
    <row r="32" spans="1:21" x14ac:dyDescent="0.35">
      <c r="A32" s="2">
        <v>31</v>
      </c>
      <c r="B32" s="2" t="s">
        <v>97</v>
      </c>
      <c r="C32" s="2" t="s">
        <v>98</v>
      </c>
      <c r="D32" s="24">
        <v>7520</v>
      </c>
      <c r="E32" s="24">
        <v>7497</v>
      </c>
      <c r="F32" s="24">
        <v>6813</v>
      </c>
      <c r="G32" s="24">
        <v>13</v>
      </c>
      <c r="H32" s="24">
        <v>10</v>
      </c>
      <c r="I32" s="24">
        <v>1153523785.96</v>
      </c>
      <c r="J32" s="24">
        <v>665177586.32000005</v>
      </c>
      <c r="K32" s="24">
        <v>869817191.69000006</v>
      </c>
      <c r="L32" s="24">
        <v>0</v>
      </c>
      <c r="M32" s="24">
        <v>869817191.69000006</v>
      </c>
      <c r="N32" s="24">
        <v>283706594.26999998</v>
      </c>
      <c r="O32" s="24">
        <v>13.64886727500082</v>
      </c>
      <c r="P32" s="24">
        <v>18.100691965554649</v>
      </c>
      <c r="Q32" s="24">
        <v>684</v>
      </c>
      <c r="R32" s="42">
        <v>9.1236494597839141E-2</v>
      </c>
      <c r="S32" s="42">
        <v>0.42771084337349402</v>
      </c>
      <c r="T32" s="42">
        <v>0.36144578313253012</v>
      </c>
      <c r="U32" s="42">
        <v>0.21084337349397589</v>
      </c>
    </row>
    <row r="33" spans="1:21" x14ac:dyDescent="0.35">
      <c r="A33" s="2">
        <v>32</v>
      </c>
      <c r="B33" s="2" t="s">
        <v>63</v>
      </c>
      <c r="C33" s="2" t="s">
        <v>64</v>
      </c>
      <c r="D33" s="24">
        <v>7693</v>
      </c>
      <c r="E33" s="24">
        <v>7570</v>
      </c>
      <c r="F33" s="24">
        <v>6897</v>
      </c>
      <c r="G33" s="24">
        <v>33</v>
      </c>
      <c r="H33" s="24">
        <v>90</v>
      </c>
      <c r="I33" s="24">
        <v>1133941396.71</v>
      </c>
      <c r="J33" s="24">
        <v>650370470.27999997</v>
      </c>
      <c r="K33" s="24">
        <v>843314145.5</v>
      </c>
      <c r="L33" s="24">
        <v>0</v>
      </c>
      <c r="M33" s="24">
        <v>843314145.5</v>
      </c>
      <c r="N33" s="24">
        <v>290627251.20999998</v>
      </c>
      <c r="O33" s="24">
        <v>16.258345702425281</v>
      </c>
      <c r="P33" s="24">
        <v>21.861380284415201</v>
      </c>
      <c r="Q33" s="24">
        <v>673</v>
      </c>
      <c r="R33" s="42">
        <v>8.8903566710700127E-2</v>
      </c>
      <c r="S33" s="42">
        <v>0.4098360655737705</v>
      </c>
      <c r="T33" s="42">
        <v>0.37704918032786883</v>
      </c>
      <c r="U33" s="42">
        <v>0.21311475409836059</v>
      </c>
    </row>
    <row r="34" spans="1:21" x14ac:dyDescent="0.35">
      <c r="A34" s="2">
        <v>33</v>
      </c>
      <c r="B34" s="2" t="s">
        <v>65</v>
      </c>
      <c r="C34" s="2" t="s">
        <v>66</v>
      </c>
      <c r="D34" s="24">
        <v>7743</v>
      </c>
      <c r="E34" s="24">
        <v>7631</v>
      </c>
      <c r="F34" s="24">
        <v>6927</v>
      </c>
      <c r="G34" s="24">
        <v>24</v>
      </c>
      <c r="H34" s="24">
        <v>88</v>
      </c>
      <c r="I34" s="24">
        <v>930121853.62</v>
      </c>
      <c r="J34" s="24">
        <v>618887383.25999999</v>
      </c>
      <c r="K34" s="24">
        <v>780109211.54999995</v>
      </c>
      <c r="L34" s="24">
        <v>0</v>
      </c>
      <c r="M34" s="24">
        <v>780109211.54999995</v>
      </c>
      <c r="N34" s="24">
        <v>150012642.07000011</v>
      </c>
      <c r="O34" s="24">
        <v>19.043496853185601</v>
      </c>
      <c r="P34" s="24">
        <v>22.705503704152012</v>
      </c>
      <c r="Q34" s="24">
        <v>704</v>
      </c>
      <c r="R34" s="42">
        <v>9.2255274538068407E-2</v>
      </c>
      <c r="S34" s="42">
        <v>0.45810055865921789</v>
      </c>
      <c r="T34" s="42">
        <v>0.37988826815642462</v>
      </c>
      <c r="U34" s="42">
        <v>0.21229050279329609</v>
      </c>
    </row>
    <row r="35" spans="1:21" x14ac:dyDescent="0.35">
      <c r="A35" s="2">
        <v>34</v>
      </c>
      <c r="B35" s="2" t="s">
        <v>48</v>
      </c>
      <c r="C35" s="2" t="s">
        <v>49</v>
      </c>
      <c r="D35" s="24">
        <v>6868</v>
      </c>
      <c r="E35" s="24">
        <v>6763</v>
      </c>
      <c r="F35" s="24">
        <v>6282</v>
      </c>
      <c r="G35" s="24">
        <v>50</v>
      </c>
      <c r="H35" s="24">
        <v>55</v>
      </c>
      <c r="I35" s="24">
        <v>915457178.75</v>
      </c>
      <c r="J35" s="24">
        <v>617115159.65999997</v>
      </c>
      <c r="K35" s="24">
        <v>642050512.36000001</v>
      </c>
      <c r="L35" s="24">
        <v>0</v>
      </c>
      <c r="M35" s="24">
        <v>642050512.36000001</v>
      </c>
      <c r="N35" s="24">
        <v>273406666.38999999</v>
      </c>
      <c r="O35" s="24">
        <v>11.36505546551779</v>
      </c>
      <c r="P35" s="24">
        <v>16.204677688920679</v>
      </c>
      <c r="Q35" s="24">
        <v>481</v>
      </c>
      <c r="R35" s="42">
        <v>7.1122283010498305E-2</v>
      </c>
      <c r="S35" s="42">
        <v>0.54746136865342165</v>
      </c>
      <c r="T35" s="42">
        <v>0.36423841059602652</v>
      </c>
      <c r="U35" s="42">
        <v>8.8300220750551883E-2</v>
      </c>
    </row>
    <row r="36" spans="1:21" x14ac:dyDescent="0.35">
      <c r="A36" s="2">
        <v>35</v>
      </c>
      <c r="B36" s="2" t="s">
        <v>143</v>
      </c>
      <c r="C36" s="2" t="s">
        <v>144</v>
      </c>
      <c r="D36" s="24">
        <v>7043</v>
      </c>
      <c r="E36" s="24">
        <v>6903</v>
      </c>
      <c r="F36" s="24">
        <v>6447</v>
      </c>
      <c r="G36" s="24">
        <v>29</v>
      </c>
      <c r="H36" s="24">
        <v>111</v>
      </c>
      <c r="I36" s="24">
        <v>823737165.95000005</v>
      </c>
      <c r="J36" s="24">
        <v>624619388.33000004</v>
      </c>
      <c r="K36" s="24">
        <v>994506641.73000002</v>
      </c>
      <c r="L36" s="24">
        <v>0</v>
      </c>
      <c r="M36" s="24">
        <v>994506641.73000002</v>
      </c>
      <c r="N36" s="24">
        <v>-170769475.78</v>
      </c>
      <c r="O36" s="24">
        <v>15.27688224345105</v>
      </c>
      <c r="P36" s="24">
        <v>12.65364669850916</v>
      </c>
      <c r="Q36" s="24">
        <v>456</v>
      </c>
      <c r="R36" s="42">
        <v>6.605823554976098E-2</v>
      </c>
      <c r="S36" s="42">
        <v>0.62130177514792895</v>
      </c>
      <c r="T36" s="42">
        <v>0.31656804733727811</v>
      </c>
      <c r="U36" s="42">
        <v>6.8047337278106509E-2</v>
      </c>
    </row>
    <row r="37" spans="1:21" x14ac:dyDescent="0.35">
      <c r="A37" s="2">
        <v>36</v>
      </c>
      <c r="B37" s="2" t="s">
        <v>67</v>
      </c>
      <c r="C37" s="2" t="s">
        <v>68</v>
      </c>
      <c r="D37" s="24">
        <v>7799</v>
      </c>
      <c r="E37" s="24">
        <v>7765</v>
      </c>
      <c r="F37" s="24">
        <v>7038</v>
      </c>
      <c r="G37" s="24">
        <v>28</v>
      </c>
      <c r="H37" s="24">
        <v>6</v>
      </c>
      <c r="I37" s="24">
        <v>977575750.70000005</v>
      </c>
      <c r="J37" s="24">
        <v>737415264.25999999</v>
      </c>
      <c r="K37" s="24">
        <v>958144824.15999997</v>
      </c>
      <c r="L37" s="24">
        <v>0</v>
      </c>
      <c r="M37" s="24">
        <v>958144824.15999997</v>
      </c>
      <c r="N37" s="24">
        <v>19430926.540000081</v>
      </c>
      <c r="O37" s="24">
        <v>24.636531576342559</v>
      </c>
      <c r="P37" s="24">
        <v>25.13615399582385</v>
      </c>
      <c r="Q37" s="24">
        <v>727</v>
      </c>
      <c r="R37" s="42">
        <v>9.3625241468126202E-2</v>
      </c>
      <c r="S37" s="42">
        <v>0.44827586206896552</v>
      </c>
      <c r="T37" s="42">
        <v>0.36945812807881773</v>
      </c>
      <c r="U37" s="42">
        <v>0.18226600985221669</v>
      </c>
    </row>
    <row r="38" spans="1:21" x14ac:dyDescent="0.35">
      <c r="A38" s="2">
        <v>37</v>
      </c>
      <c r="B38" s="2" t="s">
        <v>117</v>
      </c>
      <c r="C38" s="2" t="s">
        <v>118</v>
      </c>
      <c r="D38" s="24">
        <v>6941</v>
      </c>
      <c r="E38" s="24">
        <v>6863</v>
      </c>
      <c r="F38" s="24">
        <v>6226</v>
      </c>
      <c r="G38" s="24">
        <v>4</v>
      </c>
      <c r="H38" s="24">
        <v>74</v>
      </c>
      <c r="I38" s="24">
        <v>795003371.97000003</v>
      </c>
      <c r="J38" s="24">
        <v>623503331.63</v>
      </c>
      <c r="K38" s="24">
        <v>737680515.26999998</v>
      </c>
      <c r="L38" s="24">
        <v>0</v>
      </c>
      <c r="M38" s="24">
        <v>737680515.26999998</v>
      </c>
      <c r="N38" s="24">
        <v>57322856.700000048</v>
      </c>
      <c r="O38" s="24">
        <v>19.543577659018592</v>
      </c>
      <c r="P38" s="24">
        <v>21.062248246573969</v>
      </c>
      <c r="Q38" s="24">
        <v>637</v>
      </c>
      <c r="R38" s="42">
        <v>9.2816552528048962E-2</v>
      </c>
      <c r="S38" s="42">
        <v>0.43117408906882593</v>
      </c>
      <c r="T38" s="42">
        <v>0.48987854251012147</v>
      </c>
      <c r="U38" s="42">
        <v>7.8947368421052627E-2</v>
      </c>
    </row>
    <row r="39" spans="1:21" x14ac:dyDescent="0.35">
      <c r="A39" s="2">
        <v>38</v>
      </c>
      <c r="B39" s="2" t="s">
        <v>88</v>
      </c>
      <c r="C39" s="2" t="s">
        <v>89</v>
      </c>
      <c r="D39" s="24">
        <v>8008</v>
      </c>
      <c r="E39" s="24">
        <v>7866</v>
      </c>
      <c r="F39" s="24">
        <v>7142</v>
      </c>
      <c r="G39" s="24">
        <v>38</v>
      </c>
      <c r="H39" s="24">
        <v>104</v>
      </c>
      <c r="I39" s="24">
        <v>1042737003.7</v>
      </c>
      <c r="J39" s="24">
        <v>718657619.38</v>
      </c>
      <c r="K39" s="24">
        <v>868041515.96000004</v>
      </c>
      <c r="L39" s="24">
        <v>0</v>
      </c>
      <c r="M39" s="24">
        <v>868041515.96000004</v>
      </c>
      <c r="N39" s="24">
        <v>174695487.74000001</v>
      </c>
      <c r="O39" s="24">
        <v>17.07597873911142</v>
      </c>
      <c r="P39" s="24">
        <v>20.51256141357927</v>
      </c>
      <c r="Q39" s="24">
        <v>724</v>
      </c>
      <c r="R39" s="42">
        <v>9.2041698449021103E-2</v>
      </c>
      <c r="S39" s="42">
        <v>0.39834024896265557</v>
      </c>
      <c r="T39" s="42">
        <v>0.38589211618257258</v>
      </c>
      <c r="U39" s="42">
        <v>0.21576763485477179</v>
      </c>
    </row>
    <row r="40" spans="1:21" x14ac:dyDescent="0.35">
      <c r="A40" s="2">
        <v>39</v>
      </c>
      <c r="B40" s="2" t="s">
        <v>93</v>
      </c>
      <c r="C40" s="2" t="s">
        <v>94</v>
      </c>
      <c r="D40" s="24">
        <v>7929</v>
      </c>
      <c r="E40" s="24">
        <v>7797</v>
      </c>
      <c r="F40" s="24">
        <v>7170</v>
      </c>
      <c r="G40" s="24">
        <v>22</v>
      </c>
      <c r="H40" s="24">
        <v>110</v>
      </c>
      <c r="I40" s="24">
        <v>1072947553.7</v>
      </c>
      <c r="J40" s="24">
        <v>708350900.92999995</v>
      </c>
      <c r="K40" s="24">
        <v>837437672</v>
      </c>
      <c r="L40" s="24">
        <v>0</v>
      </c>
      <c r="M40" s="24">
        <v>837437672</v>
      </c>
      <c r="N40" s="24">
        <v>235509881.69999999</v>
      </c>
      <c r="O40" s="24">
        <v>24.134621042485339</v>
      </c>
      <c r="P40" s="24">
        <v>30.921922278905061</v>
      </c>
      <c r="Q40" s="24">
        <v>627</v>
      </c>
      <c r="R40" s="42">
        <v>8.0415544440169295E-2</v>
      </c>
      <c r="S40" s="42">
        <v>0.72647058823529409</v>
      </c>
      <c r="T40" s="42">
        <v>0.1588235294117647</v>
      </c>
      <c r="U40" s="42">
        <v>0.1147058823529412</v>
      </c>
    </row>
    <row r="41" spans="1:21" x14ac:dyDescent="0.35">
      <c r="A41" s="2">
        <v>40</v>
      </c>
      <c r="B41" s="2" t="s">
        <v>119</v>
      </c>
      <c r="C41" s="2" t="s">
        <v>120</v>
      </c>
      <c r="D41" s="24">
        <v>8005</v>
      </c>
      <c r="E41" s="24">
        <v>7849</v>
      </c>
      <c r="F41" s="24">
        <v>7191</v>
      </c>
      <c r="G41" s="24">
        <v>21</v>
      </c>
      <c r="H41" s="24">
        <v>135</v>
      </c>
      <c r="I41" s="24">
        <v>1140794752.9100001</v>
      </c>
      <c r="J41" s="24">
        <v>639435017.35000002</v>
      </c>
      <c r="K41" s="24">
        <v>891544070.45000005</v>
      </c>
      <c r="L41" s="24">
        <v>0</v>
      </c>
      <c r="M41" s="24">
        <v>891544070.45000005</v>
      </c>
      <c r="N41" s="24">
        <v>249250682.46000001</v>
      </c>
      <c r="O41" s="24">
        <v>13.882744343581651</v>
      </c>
      <c r="P41" s="24">
        <v>17.763969755477309</v>
      </c>
      <c r="Q41" s="24">
        <v>658</v>
      </c>
      <c r="R41" s="42">
        <v>8.3832335329341312E-2</v>
      </c>
      <c r="S41" s="42">
        <v>0.81654676258992809</v>
      </c>
      <c r="T41" s="42">
        <v>0.1438848920863309</v>
      </c>
      <c r="U41" s="42">
        <v>3.9568345323740997E-2</v>
      </c>
    </row>
    <row r="42" spans="1:21" x14ac:dyDescent="0.35">
      <c r="A42" s="2">
        <v>41</v>
      </c>
      <c r="B42" s="2" t="s">
        <v>69</v>
      </c>
      <c r="C42" s="2" t="s">
        <v>70</v>
      </c>
      <c r="D42" s="24">
        <v>5824</v>
      </c>
      <c r="E42" s="24">
        <v>5734</v>
      </c>
      <c r="F42" s="24">
        <v>5272</v>
      </c>
      <c r="G42" s="24">
        <v>83</v>
      </c>
      <c r="H42" s="24">
        <v>7</v>
      </c>
      <c r="I42" s="24">
        <v>653488848.01999998</v>
      </c>
      <c r="J42" s="24">
        <v>507794158.47000003</v>
      </c>
      <c r="K42" s="24">
        <v>613476979.98000002</v>
      </c>
      <c r="L42" s="24">
        <v>0</v>
      </c>
      <c r="M42" s="24">
        <v>613476979.98000002</v>
      </c>
      <c r="N42" s="24">
        <v>40011868.039999962</v>
      </c>
      <c r="O42" s="24">
        <v>23.30964923741637</v>
      </c>
      <c r="P42" s="24">
        <v>24.829938734467419</v>
      </c>
      <c r="Q42" s="24">
        <v>462</v>
      </c>
      <c r="R42" s="42">
        <v>8.0572026508545516E-2</v>
      </c>
      <c r="S42" s="42">
        <v>0.1</v>
      </c>
      <c r="T42" s="42">
        <v>0.8075</v>
      </c>
      <c r="U42" s="42">
        <v>9.2499999999999999E-2</v>
      </c>
    </row>
    <row r="43" spans="1:21" x14ac:dyDescent="0.35">
      <c r="A43" s="2">
        <v>42</v>
      </c>
      <c r="B43" s="2" t="s">
        <v>59</v>
      </c>
      <c r="C43" s="2" t="s">
        <v>60</v>
      </c>
      <c r="D43" s="24">
        <v>8076</v>
      </c>
      <c r="E43" s="24">
        <v>7956</v>
      </c>
      <c r="F43" s="24">
        <v>7117</v>
      </c>
      <c r="G43" s="24">
        <v>118</v>
      </c>
      <c r="H43" s="24">
        <v>2</v>
      </c>
      <c r="I43" s="24">
        <v>914810243.21000004</v>
      </c>
      <c r="J43" s="24">
        <v>669600544.55999994</v>
      </c>
      <c r="K43" s="24">
        <v>952656538.93999994</v>
      </c>
      <c r="L43" s="24">
        <v>0</v>
      </c>
      <c r="M43" s="24">
        <v>952656538.93999994</v>
      </c>
      <c r="N43" s="24">
        <v>-37846295.7299999</v>
      </c>
      <c r="O43" s="24">
        <v>25.24720060122247</v>
      </c>
      <c r="P43" s="24">
        <v>24.244202163431151</v>
      </c>
      <c r="Q43" s="24">
        <v>839</v>
      </c>
      <c r="R43" s="42">
        <v>0.105455002513826</v>
      </c>
      <c r="S43" s="42">
        <v>0.58431372549019611</v>
      </c>
      <c r="T43" s="42">
        <v>0.28627450980392161</v>
      </c>
      <c r="U43" s="42">
        <v>0.12941176470588239</v>
      </c>
    </row>
    <row r="44" spans="1:21" x14ac:dyDescent="0.35">
      <c r="A44" s="2">
        <v>43</v>
      </c>
      <c r="B44" s="2" t="s">
        <v>13</v>
      </c>
      <c r="C44" s="2" t="s">
        <v>14</v>
      </c>
      <c r="D44" s="24">
        <v>7984</v>
      </c>
      <c r="E44" s="24">
        <v>7943</v>
      </c>
      <c r="F44" s="24">
        <v>7072</v>
      </c>
      <c r="G44" s="24">
        <v>30</v>
      </c>
      <c r="H44" s="24">
        <v>11</v>
      </c>
      <c r="I44" s="24">
        <v>884451093.17999995</v>
      </c>
      <c r="J44" s="24">
        <v>678248109.48000002</v>
      </c>
      <c r="K44" s="24">
        <v>895290017.44000006</v>
      </c>
      <c r="L44" s="24">
        <v>0</v>
      </c>
      <c r="M44" s="24">
        <v>895290017.44000006</v>
      </c>
      <c r="N44" s="24">
        <v>-10838924.26000011</v>
      </c>
      <c r="O44" s="24">
        <v>16.13294409015236</v>
      </c>
      <c r="P44" s="24">
        <v>15.93762887868157</v>
      </c>
      <c r="Q44" s="24">
        <v>871</v>
      </c>
      <c r="R44" s="42">
        <v>0.1096563011456629</v>
      </c>
      <c r="S44" s="42">
        <v>0.33714285714285708</v>
      </c>
      <c r="T44" s="42">
        <v>0.39428571428571429</v>
      </c>
      <c r="U44" s="42">
        <v>0.26857142857142863</v>
      </c>
    </row>
    <row r="45" spans="1:21" x14ac:dyDescent="0.35">
      <c r="A45" s="2">
        <v>44</v>
      </c>
      <c r="B45" s="2" t="s">
        <v>18</v>
      </c>
      <c r="C45" s="2" t="s">
        <v>19</v>
      </c>
      <c r="D45" s="24">
        <v>7967</v>
      </c>
      <c r="E45" s="24">
        <v>7922</v>
      </c>
      <c r="F45" s="24">
        <v>7098</v>
      </c>
      <c r="G45" s="24">
        <v>40</v>
      </c>
      <c r="H45" s="24">
        <v>5</v>
      </c>
      <c r="I45" s="24">
        <v>885419926.09000003</v>
      </c>
      <c r="J45" s="24">
        <v>674300196.60000002</v>
      </c>
      <c r="K45" s="24">
        <v>892069705.07000005</v>
      </c>
      <c r="L45" s="24">
        <v>0</v>
      </c>
      <c r="M45" s="24">
        <v>892069705.07000005</v>
      </c>
      <c r="N45" s="24">
        <v>-6649778.9800000191</v>
      </c>
      <c r="O45" s="24">
        <v>16.820583599532942</v>
      </c>
      <c r="P45" s="24">
        <v>16.695197474865999</v>
      </c>
      <c r="Q45" s="24">
        <v>824</v>
      </c>
      <c r="R45" s="42">
        <v>0.1040141378439788</v>
      </c>
      <c r="S45" s="42">
        <v>0.33191489361702131</v>
      </c>
      <c r="T45" s="42">
        <v>0.4553191489361702</v>
      </c>
      <c r="U45" s="42">
        <v>0.21276595744680851</v>
      </c>
    </row>
    <row r="46" spans="1:21" x14ac:dyDescent="0.35">
      <c r="A46" s="2">
        <v>45</v>
      </c>
      <c r="B46" s="2" t="s">
        <v>20</v>
      </c>
      <c r="C46" s="2" t="s">
        <v>21</v>
      </c>
      <c r="D46" s="24">
        <v>7816</v>
      </c>
      <c r="E46" s="24">
        <v>7615</v>
      </c>
      <c r="F46" s="24">
        <v>6952</v>
      </c>
      <c r="G46" s="24">
        <v>87</v>
      </c>
      <c r="H46" s="24">
        <v>114</v>
      </c>
      <c r="I46" s="24">
        <v>820615240.10000002</v>
      </c>
      <c r="J46" s="24">
        <v>687753957.69000006</v>
      </c>
      <c r="K46" s="24">
        <v>926969412.71000004</v>
      </c>
      <c r="L46" s="24">
        <v>0</v>
      </c>
      <c r="M46" s="24">
        <v>926969412.71000004</v>
      </c>
      <c r="N46" s="24">
        <v>-106354172.61</v>
      </c>
      <c r="O46" s="24">
        <v>17.887754168980589</v>
      </c>
      <c r="P46" s="24">
        <v>15.83543478453486</v>
      </c>
      <c r="Q46" s="24">
        <v>663</v>
      </c>
      <c r="R46" s="42">
        <v>8.7065003282994088E-2</v>
      </c>
      <c r="S46" s="42">
        <v>0.47517730496453903</v>
      </c>
      <c r="T46" s="42">
        <v>0.3475177304964539</v>
      </c>
      <c r="U46" s="42">
        <v>0.1773049645390071</v>
      </c>
    </row>
    <row r="47" spans="1:21" x14ac:dyDescent="0.35">
      <c r="A47" s="2">
        <v>46</v>
      </c>
      <c r="B47" s="2" t="s">
        <v>99</v>
      </c>
      <c r="C47" s="2" t="s">
        <v>100</v>
      </c>
      <c r="D47" s="24">
        <v>7884</v>
      </c>
      <c r="E47" s="24">
        <v>7736</v>
      </c>
      <c r="F47" s="24">
        <v>7116</v>
      </c>
      <c r="G47" s="24">
        <v>27</v>
      </c>
      <c r="H47" s="24">
        <v>121</v>
      </c>
      <c r="I47" s="24">
        <v>893538127.80999994</v>
      </c>
      <c r="J47" s="24">
        <v>647004027.02999997</v>
      </c>
      <c r="K47" s="24">
        <v>824868181.57000005</v>
      </c>
      <c r="L47" s="24">
        <v>0</v>
      </c>
      <c r="M47" s="24">
        <v>824868181.57000005</v>
      </c>
      <c r="N47" s="24">
        <v>68669946.23999989</v>
      </c>
      <c r="O47" s="24">
        <v>21.573757971960418</v>
      </c>
      <c r="P47" s="24">
        <v>23.369764695494791</v>
      </c>
      <c r="Q47" s="24">
        <v>620</v>
      </c>
      <c r="R47" s="42">
        <v>8.0144777662874866E-2</v>
      </c>
      <c r="S47" s="42">
        <v>0.59712230215827333</v>
      </c>
      <c r="T47" s="42">
        <v>0.2805755395683453</v>
      </c>
      <c r="U47" s="42">
        <v>0.1223021582733813</v>
      </c>
    </row>
    <row r="48" spans="1:21" x14ac:dyDescent="0.35">
      <c r="A48" s="2">
        <v>47</v>
      </c>
      <c r="B48" s="2" t="s">
        <v>123</v>
      </c>
      <c r="C48" s="2" t="s">
        <v>124</v>
      </c>
      <c r="D48" s="24">
        <v>7685</v>
      </c>
      <c r="E48" s="24">
        <v>7580</v>
      </c>
      <c r="F48" s="24">
        <v>6960</v>
      </c>
      <c r="G48" s="24">
        <v>2</v>
      </c>
      <c r="H48" s="24">
        <v>103</v>
      </c>
      <c r="I48" s="24">
        <v>790404213.72000003</v>
      </c>
      <c r="J48" s="24">
        <v>626318054.67999995</v>
      </c>
      <c r="K48" s="24">
        <v>765369696.83000004</v>
      </c>
      <c r="L48" s="24">
        <v>0</v>
      </c>
      <c r="M48" s="24">
        <v>765369696.83000004</v>
      </c>
      <c r="N48" s="24">
        <v>25034516.889999989</v>
      </c>
      <c r="O48" s="24">
        <v>17.778672084604612</v>
      </c>
      <c r="P48" s="24">
        <v>18.360195586811759</v>
      </c>
      <c r="Q48" s="24">
        <v>620</v>
      </c>
      <c r="R48" s="42">
        <v>8.1794195250659632E-2</v>
      </c>
      <c r="S48" s="42"/>
      <c r="T48" s="42"/>
      <c r="U48" s="42"/>
    </row>
    <row r="49" spans="1:21" x14ac:dyDescent="0.35">
      <c r="A49" s="2">
        <v>48</v>
      </c>
      <c r="B49" s="2" t="s">
        <v>85</v>
      </c>
      <c r="C49" s="2" t="s">
        <v>86</v>
      </c>
      <c r="D49" s="24">
        <v>6672</v>
      </c>
      <c r="E49" s="24">
        <v>6556</v>
      </c>
      <c r="F49" s="24">
        <v>5890</v>
      </c>
      <c r="G49" s="24">
        <v>40</v>
      </c>
      <c r="H49" s="24">
        <v>76</v>
      </c>
      <c r="I49" s="24">
        <v>830479935.40999997</v>
      </c>
      <c r="J49" s="24">
        <v>664811526.67999995</v>
      </c>
      <c r="K49" s="24">
        <v>793155060.94000006</v>
      </c>
      <c r="L49" s="24">
        <v>0</v>
      </c>
      <c r="M49" s="24">
        <v>793155060.94000006</v>
      </c>
      <c r="N49" s="24">
        <v>37324874.469999909</v>
      </c>
      <c r="O49" s="24">
        <v>16.824675162938512</v>
      </c>
      <c r="P49" s="24">
        <v>17.616423106538551</v>
      </c>
      <c r="Q49" s="24">
        <v>666</v>
      </c>
      <c r="R49" s="42">
        <v>0.1015863331299573</v>
      </c>
      <c r="S49" s="42">
        <v>0.76519337016574585</v>
      </c>
      <c r="T49" s="42">
        <v>0.19337016574585639</v>
      </c>
      <c r="U49" s="42">
        <v>4.1436464088397788E-2</v>
      </c>
    </row>
    <row r="50" spans="1:21" x14ac:dyDescent="0.35">
      <c r="A50" s="2">
        <v>49</v>
      </c>
      <c r="B50" s="2" t="s">
        <v>164</v>
      </c>
      <c r="C50" s="2" t="s">
        <v>165</v>
      </c>
      <c r="D50" s="24">
        <v>5842</v>
      </c>
      <c r="E50" s="24">
        <v>5839</v>
      </c>
      <c r="F50" s="24">
        <v>4981</v>
      </c>
      <c r="G50" s="24">
        <v>2</v>
      </c>
      <c r="H50" s="24">
        <v>1</v>
      </c>
      <c r="I50" s="24">
        <v>480126364.22000003</v>
      </c>
      <c r="J50" s="24">
        <v>506113791.86000001</v>
      </c>
      <c r="K50" s="24">
        <v>648944488.54999995</v>
      </c>
      <c r="L50" s="24">
        <v>0</v>
      </c>
      <c r="M50" s="24">
        <v>648944488.54999995</v>
      </c>
      <c r="N50" s="24">
        <v>-168818124.32999989</v>
      </c>
      <c r="O50" s="24">
        <v>14.61704758182241</v>
      </c>
      <c r="P50" s="24">
        <v>10.81453041811359</v>
      </c>
      <c r="Q50" s="24">
        <v>858</v>
      </c>
      <c r="R50" s="42">
        <v>0.14694296968659021</v>
      </c>
      <c r="S50" s="42">
        <v>1</v>
      </c>
      <c r="T50" s="42">
        <v>0</v>
      </c>
      <c r="U50" s="42">
        <v>0</v>
      </c>
    </row>
    <row r="51" spans="1:21" x14ac:dyDescent="0.35">
      <c r="A51" s="2">
        <v>50</v>
      </c>
      <c r="B51" s="2" t="s">
        <v>140</v>
      </c>
      <c r="C51" s="2" t="s">
        <v>141</v>
      </c>
      <c r="D51" s="24">
        <v>6774</v>
      </c>
      <c r="E51" s="24">
        <v>6740</v>
      </c>
      <c r="F51" s="24">
        <v>6445</v>
      </c>
      <c r="G51" s="24">
        <v>31</v>
      </c>
      <c r="H51" s="24">
        <v>3</v>
      </c>
      <c r="I51" s="24">
        <v>898596030.67999995</v>
      </c>
      <c r="J51" s="24">
        <v>557790022.74000001</v>
      </c>
      <c r="K51" s="24">
        <v>942439403.66999996</v>
      </c>
      <c r="L51" s="24">
        <v>0</v>
      </c>
      <c r="M51" s="24">
        <v>942439403.66999996</v>
      </c>
      <c r="N51" s="24">
        <v>-43843372.99000001</v>
      </c>
      <c r="O51" s="24">
        <v>24.76645599333597</v>
      </c>
      <c r="P51" s="24">
        <v>23.614291765558779</v>
      </c>
      <c r="Q51" s="24">
        <v>295</v>
      </c>
      <c r="R51" s="42">
        <v>4.376854599406528E-2</v>
      </c>
      <c r="S51" s="42">
        <v>0.45320197044334981</v>
      </c>
      <c r="T51" s="42">
        <v>0.33004926108374377</v>
      </c>
      <c r="U51" s="42">
        <v>0.21674876847290639</v>
      </c>
    </row>
    <row r="52" spans="1:21" x14ac:dyDescent="0.35">
      <c r="A52" s="2">
        <v>51</v>
      </c>
      <c r="B52" s="2" t="s">
        <v>50</v>
      </c>
      <c r="C52" s="2" t="s">
        <v>51</v>
      </c>
      <c r="D52" s="24">
        <v>6509</v>
      </c>
      <c r="E52" s="24">
        <v>6435</v>
      </c>
      <c r="F52" s="24">
        <v>5848</v>
      </c>
      <c r="G52" s="24">
        <v>26</v>
      </c>
      <c r="H52" s="24">
        <v>48</v>
      </c>
      <c r="I52" s="24">
        <v>857802379.57000005</v>
      </c>
      <c r="J52" s="24">
        <v>593999301.33000004</v>
      </c>
      <c r="K52" s="24">
        <v>747537366.84000003</v>
      </c>
      <c r="L52" s="24">
        <v>0</v>
      </c>
      <c r="M52" s="24">
        <v>747537366.84000003</v>
      </c>
      <c r="N52" s="24">
        <v>110265012.73</v>
      </c>
      <c r="O52" s="24">
        <v>17.514864263188279</v>
      </c>
      <c r="P52" s="24">
        <v>20.098382916053222</v>
      </c>
      <c r="Q52" s="24">
        <v>587</v>
      </c>
      <c r="R52" s="42">
        <v>9.1219891219891214E-2</v>
      </c>
      <c r="S52" s="42">
        <v>0.22543352601156069</v>
      </c>
      <c r="T52" s="42">
        <v>0.58959537572254339</v>
      </c>
      <c r="U52" s="42">
        <v>0.18497109826589589</v>
      </c>
    </row>
    <row r="53" spans="1:21" x14ac:dyDescent="0.35">
      <c r="A53" s="2">
        <v>52</v>
      </c>
      <c r="B53" s="2" t="s">
        <v>136</v>
      </c>
      <c r="C53" s="2" t="s">
        <v>137</v>
      </c>
      <c r="D53" s="24">
        <v>6235</v>
      </c>
      <c r="E53" s="24">
        <v>6233</v>
      </c>
      <c r="F53" s="24">
        <v>5741</v>
      </c>
      <c r="G53" s="24">
        <v>1</v>
      </c>
      <c r="H53" s="24">
        <v>1</v>
      </c>
      <c r="I53" s="24">
        <v>1018921916.16</v>
      </c>
      <c r="J53" s="24">
        <v>523334437.11000001</v>
      </c>
      <c r="K53" s="24">
        <v>674528392.15999997</v>
      </c>
      <c r="L53" s="24">
        <v>0</v>
      </c>
      <c r="M53" s="24">
        <v>674528392.15999997</v>
      </c>
      <c r="N53" s="24">
        <v>344393524</v>
      </c>
      <c r="O53" s="24">
        <v>12.201213063845779</v>
      </c>
      <c r="P53" s="24">
        <v>18.430778509826219</v>
      </c>
      <c r="Q53" s="24">
        <v>492</v>
      </c>
      <c r="R53" s="42">
        <v>7.8934702390502168E-2</v>
      </c>
      <c r="S53" s="42">
        <v>1</v>
      </c>
      <c r="T53" s="42">
        <v>0</v>
      </c>
      <c r="U53" s="42">
        <v>0</v>
      </c>
    </row>
    <row r="54" spans="1:21" x14ac:dyDescent="0.35">
      <c r="A54" s="2">
        <v>53</v>
      </c>
      <c r="B54" s="2" t="s">
        <v>29</v>
      </c>
      <c r="C54" s="2" t="s">
        <v>30</v>
      </c>
      <c r="D54" s="24">
        <v>6454</v>
      </c>
      <c r="E54" s="24">
        <v>6294</v>
      </c>
      <c r="F54" s="24">
        <v>5623</v>
      </c>
      <c r="G54" s="24">
        <v>16</v>
      </c>
      <c r="H54" s="24">
        <v>144</v>
      </c>
      <c r="I54" s="24">
        <v>658557525.98000002</v>
      </c>
      <c r="J54" s="24">
        <v>525439073.38999999</v>
      </c>
      <c r="K54" s="24">
        <v>649811855.39999998</v>
      </c>
      <c r="L54" s="24">
        <v>0</v>
      </c>
      <c r="M54" s="24">
        <v>649811855.39999998</v>
      </c>
      <c r="N54" s="24">
        <v>8745670.5800000429</v>
      </c>
      <c r="O54" s="24">
        <v>17.744077667021951</v>
      </c>
      <c r="P54" s="24">
        <v>17.982891189324011</v>
      </c>
      <c r="Q54" s="24">
        <v>671</v>
      </c>
      <c r="R54" s="42">
        <v>0.1066094693358754</v>
      </c>
      <c r="S54" s="42">
        <v>0.50704225352112675</v>
      </c>
      <c r="T54" s="42">
        <v>0.29107981220657281</v>
      </c>
      <c r="U54" s="42">
        <v>0.2018779342723005</v>
      </c>
    </row>
    <row r="55" spans="1:21" x14ac:dyDescent="0.35">
      <c r="A55" s="2">
        <v>54</v>
      </c>
      <c r="B55" s="2" t="s">
        <v>26</v>
      </c>
      <c r="C55" s="2" t="s">
        <v>27</v>
      </c>
      <c r="D55" s="24">
        <v>6563</v>
      </c>
      <c r="E55" s="24">
        <v>6446</v>
      </c>
      <c r="F55" s="24">
        <v>5655</v>
      </c>
      <c r="G55" s="24">
        <v>26</v>
      </c>
      <c r="H55" s="24">
        <v>91</v>
      </c>
      <c r="I55" s="24">
        <v>1042722581.33</v>
      </c>
      <c r="J55" s="24">
        <v>717627454.94000006</v>
      </c>
      <c r="K55" s="24">
        <v>851307442.47000003</v>
      </c>
      <c r="L55" s="24">
        <v>0</v>
      </c>
      <c r="M55" s="24">
        <v>851307442.47000003</v>
      </c>
      <c r="N55" s="24">
        <v>191415138.86000001</v>
      </c>
      <c r="O55" s="24">
        <v>15.9775752643557</v>
      </c>
      <c r="P55" s="24">
        <v>19.570107920947059</v>
      </c>
      <c r="Q55" s="24">
        <v>791</v>
      </c>
      <c r="R55" s="42">
        <v>0.1227117592305306</v>
      </c>
      <c r="S55" s="42">
        <v>0.57870370370370372</v>
      </c>
      <c r="T55" s="42">
        <v>0.29629629629629628</v>
      </c>
      <c r="U55" s="42">
        <v>0.12962962962962959</v>
      </c>
    </row>
    <row r="56" spans="1:21" x14ac:dyDescent="0.35">
      <c r="A56" s="2">
        <v>55</v>
      </c>
      <c r="B56" s="2" t="s">
        <v>53</v>
      </c>
      <c r="C56" s="2" t="s">
        <v>54</v>
      </c>
      <c r="D56" s="24">
        <v>6255</v>
      </c>
      <c r="E56" s="24">
        <v>6220</v>
      </c>
      <c r="F56" s="24">
        <v>5624</v>
      </c>
      <c r="G56" s="24">
        <v>22</v>
      </c>
      <c r="H56" s="24">
        <v>13</v>
      </c>
      <c r="I56" s="24">
        <v>1169395628.1800001</v>
      </c>
      <c r="J56" s="24">
        <v>624056965.73000002</v>
      </c>
      <c r="K56" s="24">
        <v>933898704.30999994</v>
      </c>
      <c r="L56" s="24">
        <v>0</v>
      </c>
      <c r="M56" s="24">
        <v>933898704.30999994</v>
      </c>
      <c r="N56" s="24">
        <v>235496923.87000009</v>
      </c>
      <c r="O56" s="24">
        <v>14.85816511200642</v>
      </c>
      <c r="P56" s="24">
        <v>18.60487999883701</v>
      </c>
      <c r="Q56" s="24">
        <v>596</v>
      </c>
      <c r="R56" s="42">
        <v>9.5819935691318331E-2</v>
      </c>
      <c r="S56" s="42">
        <v>0.57959183673469383</v>
      </c>
      <c r="T56" s="42">
        <v>0.2857142857142857</v>
      </c>
      <c r="U56" s="42">
        <v>0.13469387755102041</v>
      </c>
    </row>
    <row r="57" spans="1:21" x14ac:dyDescent="0.35">
      <c r="A57" s="2">
        <v>56</v>
      </c>
      <c r="B57" s="2" t="s">
        <v>73</v>
      </c>
      <c r="C57" s="2" t="s">
        <v>74</v>
      </c>
      <c r="D57" s="24">
        <v>6200</v>
      </c>
      <c r="E57" s="24">
        <v>6028</v>
      </c>
      <c r="F57" s="24">
        <v>5450</v>
      </c>
      <c r="G57" s="24">
        <v>28</v>
      </c>
      <c r="H57" s="24">
        <v>144</v>
      </c>
      <c r="I57" s="24">
        <v>1376062229.76</v>
      </c>
      <c r="J57" s="24">
        <v>557673089.16999996</v>
      </c>
      <c r="K57" s="24">
        <v>1167628069.1300001</v>
      </c>
      <c r="L57" s="24">
        <v>0</v>
      </c>
      <c r="M57" s="24">
        <v>1167628069.1300001</v>
      </c>
      <c r="N57" s="24">
        <v>208434160.62999991</v>
      </c>
      <c r="O57" s="24">
        <v>15.11741633226889</v>
      </c>
      <c r="P57" s="24">
        <v>17.81603763764614</v>
      </c>
      <c r="Q57" s="24">
        <v>578</v>
      </c>
      <c r="R57" s="42">
        <v>9.588586595885866E-2</v>
      </c>
      <c r="S57" s="42">
        <v>0.57407407407407407</v>
      </c>
      <c r="T57" s="42">
        <v>0.2638888888888889</v>
      </c>
      <c r="U57" s="42">
        <v>0.16666666666666671</v>
      </c>
    </row>
    <row r="58" spans="1:21" x14ac:dyDescent="0.35">
      <c r="A58" s="2">
        <v>57</v>
      </c>
      <c r="B58" s="2" t="s">
        <v>79</v>
      </c>
      <c r="C58" s="2" t="s">
        <v>80</v>
      </c>
      <c r="D58" s="24">
        <v>7704</v>
      </c>
      <c r="E58" s="24">
        <v>7533</v>
      </c>
      <c r="F58" s="24">
        <v>6833</v>
      </c>
      <c r="G58" s="24">
        <v>24</v>
      </c>
      <c r="H58" s="24">
        <v>147</v>
      </c>
      <c r="I58" s="24">
        <v>895203851.95000005</v>
      </c>
      <c r="J58" s="24">
        <v>753968194.51999998</v>
      </c>
      <c r="K58" s="24">
        <v>899652689.34000003</v>
      </c>
      <c r="L58" s="24">
        <v>0</v>
      </c>
      <c r="M58" s="24">
        <v>899652689.34000003</v>
      </c>
      <c r="N58" s="24">
        <v>-4448837.3899999857</v>
      </c>
      <c r="O58" s="24">
        <v>18.091668492312252</v>
      </c>
      <c r="P58" s="24">
        <v>18.002204088782111</v>
      </c>
      <c r="Q58" s="24">
        <v>700</v>
      </c>
      <c r="R58" s="42">
        <v>9.2924465684322319E-2</v>
      </c>
      <c r="S58" s="42">
        <v>0.51351351351351349</v>
      </c>
      <c r="T58" s="42">
        <v>0.30888030888030887</v>
      </c>
      <c r="U58" s="42">
        <v>0.17760617760617761</v>
      </c>
    </row>
    <row r="59" spans="1:21" x14ac:dyDescent="0.35">
      <c r="A59" s="2">
        <v>58</v>
      </c>
      <c r="B59" s="2" t="s">
        <v>4</v>
      </c>
      <c r="C59" s="2" t="s">
        <v>5</v>
      </c>
      <c r="D59" s="24">
        <v>5323</v>
      </c>
      <c r="E59" s="24">
        <v>5190</v>
      </c>
      <c r="F59" s="24">
        <v>4251</v>
      </c>
      <c r="G59" s="24">
        <v>10</v>
      </c>
      <c r="H59" s="24">
        <v>123</v>
      </c>
      <c r="I59" s="24">
        <v>743968227.13</v>
      </c>
      <c r="J59" s="24">
        <v>498795953.48000002</v>
      </c>
      <c r="K59" s="24">
        <v>699953656.66999996</v>
      </c>
      <c r="L59" s="24">
        <v>0</v>
      </c>
      <c r="M59" s="24">
        <v>699953656.66999996</v>
      </c>
      <c r="N59" s="24">
        <v>44014570.460000038</v>
      </c>
      <c r="O59" s="24">
        <v>25.718492352106551</v>
      </c>
      <c r="P59" s="24">
        <v>27.335725697442811</v>
      </c>
      <c r="Q59" s="24">
        <v>939</v>
      </c>
      <c r="R59" s="42">
        <v>0.1809248554913295</v>
      </c>
      <c r="S59" s="42">
        <v>0.83757961783439494</v>
      </c>
      <c r="T59" s="42">
        <v>0.13375796178343949</v>
      </c>
      <c r="U59" s="42">
        <v>2.8662420382165609E-2</v>
      </c>
    </row>
    <row r="60" spans="1:21" x14ac:dyDescent="0.35">
      <c r="A60" s="2">
        <v>59</v>
      </c>
      <c r="B60" s="2" t="s">
        <v>113</v>
      </c>
      <c r="C60" s="2" t="s">
        <v>114</v>
      </c>
      <c r="D60" s="24">
        <v>7483</v>
      </c>
      <c r="E60" s="24">
        <v>7453</v>
      </c>
      <c r="F60" s="24">
        <v>6816</v>
      </c>
      <c r="G60" s="24">
        <v>18</v>
      </c>
      <c r="H60" s="24">
        <v>12</v>
      </c>
      <c r="I60" s="24">
        <v>900132826.13</v>
      </c>
      <c r="J60" s="24">
        <v>704478032.72000003</v>
      </c>
      <c r="K60" s="24">
        <v>821638482.87</v>
      </c>
      <c r="L60" s="24">
        <v>0</v>
      </c>
      <c r="M60" s="24">
        <v>821638482.87</v>
      </c>
      <c r="N60" s="24">
        <v>78494343.25999999</v>
      </c>
      <c r="O60" s="24">
        <v>19.957768635284548</v>
      </c>
      <c r="P60" s="24">
        <v>21.86441246298067</v>
      </c>
      <c r="Q60" s="24">
        <v>637</v>
      </c>
      <c r="R60" s="42">
        <v>8.5468938682409762E-2</v>
      </c>
      <c r="S60" s="42">
        <v>0.24427480916030531</v>
      </c>
      <c r="T60" s="42">
        <v>0.58015267175572516</v>
      </c>
      <c r="U60" s="42">
        <v>0.17557251908396951</v>
      </c>
    </row>
    <row r="61" spans="1:21" x14ac:dyDescent="0.35">
      <c r="A61" s="2">
        <v>60</v>
      </c>
      <c r="B61" s="2" t="s">
        <v>103</v>
      </c>
      <c r="C61" s="2" t="s">
        <v>104</v>
      </c>
      <c r="D61" s="24">
        <v>7629</v>
      </c>
      <c r="E61" s="24">
        <v>7483</v>
      </c>
      <c r="F61" s="24">
        <v>6796</v>
      </c>
      <c r="G61" s="24">
        <v>11</v>
      </c>
      <c r="H61" s="24">
        <v>135</v>
      </c>
      <c r="I61" s="24">
        <v>1000883321.1799999</v>
      </c>
      <c r="J61" s="24">
        <v>805372670.11000001</v>
      </c>
      <c r="K61" s="24">
        <v>977869167.13999999</v>
      </c>
      <c r="L61" s="24">
        <v>0</v>
      </c>
      <c r="M61" s="24">
        <v>977869167.13999999</v>
      </c>
      <c r="N61" s="24">
        <v>23014154.039999962</v>
      </c>
      <c r="O61" s="24">
        <v>14.367219720301019</v>
      </c>
      <c r="P61" s="24">
        <v>14.70535228330696</v>
      </c>
      <c r="Q61" s="24">
        <v>687</v>
      </c>
      <c r="R61" s="42">
        <v>9.1808098356274223E-2</v>
      </c>
      <c r="S61" s="42">
        <v>0.73232323232323238</v>
      </c>
      <c r="T61" s="42">
        <v>0.20959595959595961</v>
      </c>
      <c r="U61" s="42">
        <v>6.0606060606060608E-2</v>
      </c>
    </row>
    <row r="62" spans="1:21" x14ac:dyDescent="0.35">
      <c r="A62" s="2">
        <v>61</v>
      </c>
      <c r="B62" s="2" t="s">
        <v>61</v>
      </c>
      <c r="C62" s="2" t="s">
        <v>62</v>
      </c>
      <c r="D62" s="24">
        <v>7602</v>
      </c>
      <c r="E62" s="24">
        <v>7554</v>
      </c>
      <c r="F62" s="24">
        <v>6867</v>
      </c>
      <c r="G62" s="24">
        <v>44</v>
      </c>
      <c r="H62" s="24">
        <v>4</v>
      </c>
      <c r="I62" s="24">
        <v>1055266607.79</v>
      </c>
      <c r="J62" s="24">
        <v>859738031.88999999</v>
      </c>
      <c r="K62" s="24">
        <v>1022472410.8</v>
      </c>
      <c r="L62" s="24">
        <v>0</v>
      </c>
      <c r="M62" s="24">
        <v>1022472410.8</v>
      </c>
      <c r="N62" s="24">
        <v>32794196.99000001</v>
      </c>
      <c r="O62" s="24">
        <v>12.408093135612299</v>
      </c>
      <c r="P62" s="24">
        <v>12.806063238532881</v>
      </c>
      <c r="Q62" s="24">
        <v>687</v>
      </c>
      <c r="R62" s="42">
        <v>9.0945194598888002E-2</v>
      </c>
      <c r="S62" s="42">
        <v>0.41908713692946059</v>
      </c>
      <c r="T62" s="42">
        <v>0.39004149377593361</v>
      </c>
      <c r="U62" s="42">
        <v>0.1908713692946058</v>
      </c>
    </row>
    <row r="63" spans="1:21" x14ac:dyDescent="0.35">
      <c r="A63" s="2">
        <v>62</v>
      </c>
      <c r="B63" s="2" t="s">
        <v>111</v>
      </c>
      <c r="C63" s="2" t="s">
        <v>112</v>
      </c>
      <c r="D63" s="24">
        <v>7566</v>
      </c>
      <c r="E63" s="24">
        <v>7515</v>
      </c>
      <c r="F63" s="24">
        <v>6878</v>
      </c>
      <c r="G63" s="24">
        <v>26</v>
      </c>
      <c r="H63" s="24">
        <v>25</v>
      </c>
      <c r="I63" s="24">
        <v>918778008.48000002</v>
      </c>
      <c r="J63" s="24">
        <v>742160322.27999997</v>
      </c>
      <c r="K63" s="24">
        <v>860972982.07000005</v>
      </c>
      <c r="L63" s="24">
        <v>0</v>
      </c>
      <c r="M63" s="24">
        <v>860972982.07000005</v>
      </c>
      <c r="N63" s="24">
        <v>57805026.409999967</v>
      </c>
      <c r="O63" s="24">
        <v>17.103765993662051</v>
      </c>
      <c r="P63" s="24">
        <v>18.252098944362839</v>
      </c>
      <c r="Q63" s="24">
        <v>637</v>
      </c>
      <c r="R63" s="42">
        <v>8.476380572188956E-2</v>
      </c>
      <c r="S63" s="42">
        <v>0.63013698630136983</v>
      </c>
      <c r="T63" s="42">
        <v>0.21232876712328769</v>
      </c>
      <c r="U63" s="42">
        <v>0.15753424657534251</v>
      </c>
    </row>
    <row r="64" spans="1:21" x14ac:dyDescent="0.35">
      <c r="A64" s="2">
        <v>63</v>
      </c>
      <c r="B64" s="2" t="s">
        <v>130</v>
      </c>
      <c r="C64" s="2" t="s">
        <v>131</v>
      </c>
      <c r="D64" s="24">
        <v>7233</v>
      </c>
      <c r="E64" s="24">
        <v>7116</v>
      </c>
      <c r="F64" s="24">
        <v>6602</v>
      </c>
      <c r="G64" s="24">
        <v>30</v>
      </c>
      <c r="H64" s="24">
        <v>87</v>
      </c>
      <c r="I64" s="24">
        <v>834027746.05999994</v>
      </c>
      <c r="J64" s="24">
        <v>704135789.85000002</v>
      </c>
      <c r="K64" s="24">
        <v>829804614.50999999</v>
      </c>
      <c r="L64" s="24">
        <v>0</v>
      </c>
      <c r="M64" s="24">
        <v>829804614.50999999</v>
      </c>
      <c r="N64" s="24">
        <v>4223131.5499999523</v>
      </c>
      <c r="O64" s="24">
        <v>14.06238573968405</v>
      </c>
      <c r="P64" s="24">
        <v>14.133953556790731</v>
      </c>
      <c r="Q64" s="24">
        <v>514</v>
      </c>
      <c r="R64" s="42">
        <v>7.2231590781337826E-2</v>
      </c>
      <c r="S64" s="42">
        <v>0.2857142857142857</v>
      </c>
      <c r="T64" s="42">
        <v>0.50510204081632648</v>
      </c>
      <c r="U64" s="42">
        <v>0.20918367346938779</v>
      </c>
    </row>
    <row r="65" spans="1:21" x14ac:dyDescent="0.35">
      <c r="A65" s="2">
        <v>64</v>
      </c>
      <c r="B65" s="2" t="s">
        <v>253</v>
      </c>
      <c r="C65" s="2" t="s">
        <v>254</v>
      </c>
      <c r="D65" s="24">
        <v>6834</v>
      </c>
      <c r="E65" s="24">
        <v>6827</v>
      </c>
      <c r="F65" s="24">
        <v>6152</v>
      </c>
      <c r="G65" s="24">
        <v>2</v>
      </c>
      <c r="H65" s="24">
        <v>5</v>
      </c>
      <c r="I65" s="24">
        <v>528336399.33999997</v>
      </c>
      <c r="J65" s="24">
        <v>583238677.12</v>
      </c>
      <c r="K65" s="24">
        <v>606790578.97000003</v>
      </c>
      <c r="L65" s="24">
        <v>0</v>
      </c>
      <c r="M65" s="24">
        <v>606790578.97000003</v>
      </c>
      <c r="N65" s="24">
        <v>-78454179.630000055</v>
      </c>
      <c r="O65" s="24">
        <v>13.93116535892973</v>
      </c>
      <c r="P65" s="24">
        <v>12.12995389091394</v>
      </c>
      <c r="Q65" s="24">
        <v>675</v>
      </c>
      <c r="R65" s="42">
        <v>9.8872125384502713E-2</v>
      </c>
      <c r="S65" s="42">
        <v>1</v>
      </c>
      <c r="T65" s="42">
        <v>0</v>
      </c>
      <c r="U65" s="42">
        <v>6.25E-2</v>
      </c>
    </row>
    <row r="66" spans="1:21" x14ac:dyDescent="0.35">
      <c r="A66" s="2">
        <v>65</v>
      </c>
      <c r="B66" s="2" t="s">
        <v>7</v>
      </c>
      <c r="C66" s="2" t="s">
        <v>8</v>
      </c>
      <c r="D66" s="24">
        <v>6596</v>
      </c>
      <c r="E66" s="24">
        <v>6469</v>
      </c>
      <c r="F66" s="24">
        <v>5772</v>
      </c>
      <c r="G66" s="24">
        <v>21</v>
      </c>
      <c r="H66" s="24">
        <v>106</v>
      </c>
      <c r="I66" s="24">
        <v>920152635.94000006</v>
      </c>
      <c r="J66" s="24">
        <v>600443621.63999999</v>
      </c>
      <c r="K66" s="24">
        <v>707073303.01999998</v>
      </c>
      <c r="L66" s="24">
        <v>0</v>
      </c>
      <c r="M66" s="24">
        <v>707073303.01999998</v>
      </c>
      <c r="N66" s="24">
        <v>213079332.92000011</v>
      </c>
      <c r="O66" s="24">
        <v>17.69005020193838</v>
      </c>
      <c r="P66" s="24">
        <v>23.021016708877369</v>
      </c>
      <c r="Q66" s="24">
        <v>697</v>
      </c>
      <c r="R66" s="42">
        <v>0.1077446282269284</v>
      </c>
      <c r="S66" s="42">
        <v>0.60730593607305938</v>
      </c>
      <c r="T66" s="42">
        <v>0.28767123287671231</v>
      </c>
      <c r="U66" s="42">
        <v>0.1050228310502283</v>
      </c>
    </row>
    <row r="67" spans="1:21" x14ac:dyDescent="0.35">
      <c r="A67" s="2">
        <v>66</v>
      </c>
      <c r="B67" s="2" t="s">
        <v>24</v>
      </c>
      <c r="C67" s="2" t="s">
        <v>25</v>
      </c>
      <c r="D67" s="2">
        <v>5960</v>
      </c>
      <c r="E67" s="2">
        <v>5838</v>
      </c>
      <c r="F67" s="2">
        <v>5270</v>
      </c>
      <c r="G67" s="2">
        <v>35</v>
      </c>
      <c r="H67" s="2">
        <v>87</v>
      </c>
      <c r="I67" s="24">
        <v>774273296.63999999</v>
      </c>
      <c r="J67" s="24">
        <v>554555310.73000002</v>
      </c>
      <c r="K67" s="24">
        <v>661456826.11000001</v>
      </c>
      <c r="L67" s="2">
        <v>0</v>
      </c>
      <c r="M67" s="24">
        <v>661456826.11000001</v>
      </c>
      <c r="N67" s="24">
        <v>112816470.53</v>
      </c>
      <c r="O67" s="24">
        <v>15.510612646036369</v>
      </c>
      <c r="P67" s="24">
        <v>18.15606508587982</v>
      </c>
      <c r="Q67" s="2">
        <v>568</v>
      </c>
      <c r="R67" s="15">
        <v>9.7293593696471392E-2</v>
      </c>
      <c r="S67" s="15">
        <v>0.36480686695278969</v>
      </c>
      <c r="T67" s="15">
        <v>0.53218884120171672</v>
      </c>
      <c r="U67" s="15">
        <v>0.1030042918454936</v>
      </c>
    </row>
    <row r="68" spans="1:21" x14ac:dyDescent="0.35">
      <c r="A68" s="2">
        <v>67</v>
      </c>
      <c r="B68" s="2" t="s">
        <v>22</v>
      </c>
      <c r="C68" s="2" t="s">
        <v>23</v>
      </c>
      <c r="D68" s="2">
        <v>6521</v>
      </c>
      <c r="E68" s="2">
        <v>6402</v>
      </c>
      <c r="F68" s="2">
        <v>5773</v>
      </c>
      <c r="G68" s="2">
        <v>36</v>
      </c>
      <c r="H68" s="2">
        <v>83</v>
      </c>
      <c r="I68" s="24">
        <v>826267899.40999997</v>
      </c>
      <c r="J68" s="24">
        <v>547313986.33000004</v>
      </c>
      <c r="K68" s="24">
        <v>635156140.55999994</v>
      </c>
      <c r="L68" s="2">
        <v>0</v>
      </c>
      <c r="M68" s="24">
        <v>635156140.55999994</v>
      </c>
      <c r="N68" s="24">
        <v>191111758.84999999</v>
      </c>
      <c r="O68" s="24">
        <v>17.906305635140949</v>
      </c>
      <c r="P68" s="24">
        <v>23.29412344230294</v>
      </c>
      <c r="Q68" s="2">
        <v>629</v>
      </c>
      <c r="R68" s="15">
        <v>9.8250546704154951E-2</v>
      </c>
      <c r="S68" s="15">
        <v>0.59903381642512077</v>
      </c>
      <c r="T68" s="15">
        <v>0.28502415458937203</v>
      </c>
      <c r="U68" s="15">
        <v>0.11594202898550721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823B-2BE1-4288-9BC3-A7BC6C505EE8}">
  <sheetPr>
    <tabColor theme="9" tint="0.79998168889431442"/>
  </sheetPr>
  <dimension ref="A1:D68"/>
  <sheetViews>
    <sheetView topLeftCell="A40" workbookViewId="0">
      <selection activeCell="D47" sqref="D47"/>
    </sheetView>
  </sheetViews>
  <sheetFormatPr defaultRowHeight="14.5" x14ac:dyDescent="0.35"/>
  <cols>
    <col min="1" max="1" width="5.1796875" customWidth="1"/>
    <col min="2" max="2" width="11.7265625" customWidth="1"/>
    <col min="3" max="3" width="19.453125" bestFit="1" customWidth="1"/>
    <col min="4" max="4" width="18.26953125" customWidth="1"/>
  </cols>
  <sheetData>
    <row r="1" spans="1:4" x14ac:dyDescent="0.35">
      <c r="A1" s="12" t="s">
        <v>159</v>
      </c>
      <c r="B1" s="13" t="s">
        <v>156</v>
      </c>
      <c r="C1" s="13" t="s">
        <v>160</v>
      </c>
      <c r="D1" s="14" t="s">
        <v>161</v>
      </c>
    </row>
    <row r="2" spans="1:4" x14ac:dyDescent="0.35">
      <c r="A2" s="8">
        <v>1</v>
      </c>
      <c r="B2" s="6" t="s">
        <v>35</v>
      </c>
      <c r="C2" s="7" t="s">
        <v>36</v>
      </c>
      <c r="D2" s="32">
        <v>3.4768211920529798E-2</v>
      </c>
    </row>
    <row r="3" spans="1:4" x14ac:dyDescent="0.35">
      <c r="A3" s="8">
        <v>2</v>
      </c>
      <c r="B3" s="6" t="s">
        <v>38</v>
      </c>
      <c r="C3" s="7" t="s">
        <v>39</v>
      </c>
      <c r="D3" s="32">
        <v>3.4257748776508973E-2</v>
      </c>
    </row>
    <row r="4" spans="1:4" x14ac:dyDescent="0.35">
      <c r="A4" s="8">
        <v>3</v>
      </c>
      <c r="B4" s="6" t="s">
        <v>128</v>
      </c>
      <c r="C4" s="7" t="s">
        <v>129</v>
      </c>
      <c r="D4" s="32">
        <v>2.8379772961816305E-2</v>
      </c>
    </row>
    <row r="5" spans="1:4" x14ac:dyDescent="0.35">
      <c r="A5" s="8">
        <v>4</v>
      </c>
      <c r="B5" s="6" t="s">
        <v>57</v>
      </c>
      <c r="C5" s="7" t="s">
        <v>58</v>
      </c>
      <c r="D5" s="32">
        <v>4.631671812968681E-2</v>
      </c>
    </row>
    <row r="6" spans="1:4" x14ac:dyDescent="0.35">
      <c r="A6" s="8">
        <v>5</v>
      </c>
      <c r="B6" s="6" t="s">
        <v>41</v>
      </c>
      <c r="C6" s="7" t="s">
        <v>42</v>
      </c>
      <c r="D6" s="32">
        <v>4.3046357615894038E-2</v>
      </c>
    </row>
    <row r="7" spans="1:4" x14ac:dyDescent="0.35">
      <c r="A7" s="8">
        <v>6</v>
      </c>
      <c r="B7" s="6" t="s">
        <v>77</v>
      </c>
      <c r="C7" s="7" t="s">
        <v>78</v>
      </c>
      <c r="D7" s="32">
        <v>4.7715053763440859E-2</v>
      </c>
    </row>
    <row r="8" spans="1:4" x14ac:dyDescent="0.35">
      <c r="A8" s="8">
        <v>7</v>
      </c>
      <c r="B8" s="6" t="s">
        <v>105</v>
      </c>
      <c r="C8" s="7" t="s">
        <v>106</v>
      </c>
      <c r="D8" s="32">
        <v>6.0994205550472704E-4</v>
      </c>
    </row>
    <row r="9" spans="1:4" x14ac:dyDescent="0.35">
      <c r="A9" s="8">
        <v>8</v>
      </c>
      <c r="B9" s="6" t="s">
        <v>97</v>
      </c>
      <c r="C9" s="7" t="s">
        <v>98</v>
      </c>
      <c r="D9" s="32">
        <v>2.353854112778065E-2</v>
      </c>
    </row>
    <row r="10" spans="1:4" x14ac:dyDescent="0.35">
      <c r="A10" s="8">
        <v>9</v>
      </c>
      <c r="B10" s="6" t="s">
        <v>63</v>
      </c>
      <c r="C10" s="7" t="s">
        <v>64</v>
      </c>
      <c r="D10" s="32">
        <v>3.3426183844011144E-2</v>
      </c>
    </row>
    <row r="11" spans="1:4" x14ac:dyDescent="0.35">
      <c r="A11" s="8">
        <v>10</v>
      </c>
      <c r="B11" s="6" t="s">
        <v>65</v>
      </c>
      <c r="C11" s="7" t="s">
        <v>66</v>
      </c>
      <c r="D11" s="32">
        <v>4.0015847860538828E-2</v>
      </c>
    </row>
    <row r="12" spans="1:4" x14ac:dyDescent="0.35">
      <c r="A12" s="8">
        <v>11</v>
      </c>
      <c r="B12" s="6" t="s">
        <v>48</v>
      </c>
      <c r="C12" s="7" t="s">
        <v>49</v>
      </c>
      <c r="D12" s="32">
        <v>5.1588310038119443E-2</v>
      </c>
    </row>
    <row r="13" spans="1:4" x14ac:dyDescent="0.35">
      <c r="A13" s="8">
        <v>12</v>
      </c>
      <c r="B13" s="6" t="s">
        <v>143</v>
      </c>
      <c r="C13" s="7" t="s">
        <v>144</v>
      </c>
      <c r="D13" s="32">
        <v>5.8252427184466021E-2</v>
      </c>
    </row>
    <row r="14" spans="1:4" x14ac:dyDescent="0.35">
      <c r="A14" s="8">
        <v>13</v>
      </c>
      <c r="B14" s="6" t="s">
        <v>32</v>
      </c>
      <c r="C14" s="7" t="s">
        <v>33</v>
      </c>
      <c r="D14" s="32">
        <v>4.9523809523809526E-2</v>
      </c>
    </row>
    <row r="15" spans="1:4" x14ac:dyDescent="0.35">
      <c r="A15" s="8">
        <v>14</v>
      </c>
      <c r="B15" s="6" t="s">
        <v>16</v>
      </c>
      <c r="C15" s="7" t="s">
        <v>17</v>
      </c>
      <c r="D15" s="32">
        <v>2.9837251356238697E-2</v>
      </c>
    </row>
    <row r="16" spans="1:4" x14ac:dyDescent="0.35">
      <c r="A16" s="8">
        <v>15</v>
      </c>
      <c r="B16" s="6" t="s">
        <v>10</v>
      </c>
      <c r="C16" s="7" t="s">
        <v>11</v>
      </c>
      <c r="D16" s="32">
        <v>3.7797863599013971E-2</v>
      </c>
    </row>
    <row r="17" spans="1:4" x14ac:dyDescent="0.35">
      <c r="A17" s="8">
        <v>16</v>
      </c>
      <c r="B17" s="6" t="s">
        <v>90</v>
      </c>
      <c r="C17" s="7" t="s">
        <v>91</v>
      </c>
      <c r="D17" s="32">
        <v>3.6656322730799072E-2</v>
      </c>
    </row>
    <row r="18" spans="1:4" x14ac:dyDescent="0.35">
      <c r="A18" s="8">
        <v>17</v>
      </c>
      <c r="B18" s="6" t="s">
        <v>162</v>
      </c>
      <c r="C18" s="7" t="s">
        <v>163</v>
      </c>
      <c r="D18" s="32">
        <v>0.10430758276966892</v>
      </c>
    </row>
    <row r="19" spans="1:4" x14ac:dyDescent="0.35">
      <c r="A19" s="8">
        <v>18</v>
      </c>
      <c r="B19" s="6" t="s">
        <v>289</v>
      </c>
      <c r="C19" s="7" t="s">
        <v>290</v>
      </c>
      <c r="D19" s="32">
        <v>1.4E-2</v>
      </c>
    </row>
    <row r="20" spans="1:4" x14ac:dyDescent="0.35">
      <c r="A20" s="8">
        <v>19</v>
      </c>
      <c r="B20" s="6" t="s">
        <v>46</v>
      </c>
      <c r="C20" s="7" t="s">
        <v>47</v>
      </c>
      <c r="D20" s="32">
        <v>3.6464927829830338E-2</v>
      </c>
    </row>
    <row r="21" spans="1:4" x14ac:dyDescent="0.35">
      <c r="A21" s="8">
        <v>20</v>
      </c>
      <c r="B21" s="6" t="s">
        <v>107</v>
      </c>
      <c r="C21" s="7" t="s">
        <v>108</v>
      </c>
      <c r="D21" s="32">
        <v>2.3405500292568754E-3</v>
      </c>
    </row>
    <row r="22" spans="1:4" x14ac:dyDescent="0.35">
      <c r="A22" s="8">
        <v>21</v>
      </c>
      <c r="B22" s="6" t="s">
        <v>55</v>
      </c>
      <c r="C22" s="7" t="s">
        <v>56</v>
      </c>
      <c r="D22" s="32">
        <v>3.5056294779938588E-2</v>
      </c>
    </row>
    <row r="23" spans="1:4" x14ac:dyDescent="0.35">
      <c r="A23" s="8">
        <v>22</v>
      </c>
      <c r="B23" s="6" t="s">
        <v>81</v>
      </c>
      <c r="C23" s="7" t="s">
        <v>82</v>
      </c>
      <c r="D23" s="32">
        <v>3.7311032486330012E-2</v>
      </c>
    </row>
    <row r="24" spans="1:4" x14ac:dyDescent="0.35">
      <c r="A24" s="8">
        <v>23</v>
      </c>
      <c r="B24" s="6" t="s">
        <v>138</v>
      </c>
      <c r="C24" s="7" t="s">
        <v>139</v>
      </c>
      <c r="D24" s="32">
        <v>4.4688644688644689E-2</v>
      </c>
    </row>
    <row r="25" spans="1:4" x14ac:dyDescent="0.35">
      <c r="A25" s="8">
        <v>24</v>
      </c>
      <c r="B25" s="6" t="s">
        <v>125</v>
      </c>
      <c r="C25" s="7" t="s">
        <v>126</v>
      </c>
      <c r="D25" s="32">
        <v>3.3588997619677333E-2</v>
      </c>
    </row>
    <row r="26" spans="1:4" x14ac:dyDescent="0.35">
      <c r="A26" s="8">
        <v>25</v>
      </c>
      <c r="B26" s="6" t="s">
        <v>132</v>
      </c>
      <c r="C26" s="7" t="s">
        <v>133</v>
      </c>
      <c r="D26" s="32">
        <v>2.3652365236523653E-2</v>
      </c>
    </row>
    <row r="27" spans="1:4" x14ac:dyDescent="0.35">
      <c r="A27" s="8">
        <v>26</v>
      </c>
      <c r="B27" s="6" t="s">
        <v>71</v>
      </c>
      <c r="C27" s="7" t="s">
        <v>72</v>
      </c>
      <c r="D27" s="32">
        <v>5.8456486042692941E-2</v>
      </c>
    </row>
    <row r="28" spans="1:4" x14ac:dyDescent="0.35">
      <c r="A28" s="8">
        <v>27</v>
      </c>
      <c r="B28" s="6" t="s">
        <v>75</v>
      </c>
      <c r="C28" s="7" t="s">
        <v>76</v>
      </c>
      <c r="D28" s="32">
        <v>6.0659808442710184E-2</v>
      </c>
    </row>
    <row r="29" spans="1:4" x14ac:dyDescent="0.35">
      <c r="A29" s="8">
        <v>28</v>
      </c>
      <c r="B29" s="6" t="s">
        <v>43</v>
      </c>
      <c r="C29" s="7" t="s">
        <v>44</v>
      </c>
      <c r="D29" s="32">
        <v>3.2503037667071688E-2</v>
      </c>
    </row>
    <row r="30" spans="1:4" x14ac:dyDescent="0.35">
      <c r="A30" s="8">
        <v>29</v>
      </c>
      <c r="B30" s="6" t="s">
        <v>109</v>
      </c>
      <c r="C30" s="7" t="s">
        <v>110</v>
      </c>
      <c r="D30" s="32">
        <v>3.6349574632637278E-2</v>
      </c>
    </row>
    <row r="31" spans="1:4" x14ac:dyDescent="0.35">
      <c r="A31" s="8">
        <v>30</v>
      </c>
      <c r="B31" s="6" t="s">
        <v>95</v>
      </c>
      <c r="C31" s="7" t="s">
        <v>96</v>
      </c>
      <c r="D31" s="32">
        <v>2.9134295227524972E-2</v>
      </c>
    </row>
    <row r="32" spans="1:4" x14ac:dyDescent="0.35">
      <c r="A32" s="8">
        <v>31</v>
      </c>
      <c r="B32" s="6" t="s">
        <v>115</v>
      </c>
      <c r="C32" s="7" t="s">
        <v>116</v>
      </c>
      <c r="D32" s="32">
        <v>3.3367556468172485E-3</v>
      </c>
    </row>
    <row r="33" spans="1:4" x14ac:dyDescent="0.35">
      <c r="A33" s="8">
        <v>32</v>
      </c>
      <c r="B33" s="6" t="s">
        <v>121</v>
      </c>
      <c r="C33" s="7" t="s">
        <v>122</v>
      </c>
      <c r="D33" s="32">
        <v>2.3357664233576641E-2</v>
      </c>
    </row>
    <row r="34" spans="1:4" x14ac:dyDescent="0.35">
      <c r="A34" s="8">
        <v>33</v>
      </c>
      <c r="B34" s="6" t="s">
        <v>67</v>
      </c>
      <c r="C34" s="7" t="s">
        <v>68</v>
      </c>
      <c r="D34" s="32">
        <v>3.8549618320610685E-2</v>
      </c>
    </row>
    <row r="35" spans="1:4" x14ac:dyDescent="0.35">
      <c r="A35" s="8">
        <v>34</v>
      </c>
      <c r="B35" s="6" t="s">
        <v>117</v>
      </c>
      <c r="C35" s="7" t="s">
        <v>118</v>
      </c>
      <c r="D35" s="32">
        <v>9.3260188087774296E-2</v>
      </c>
    </row>
    <row r="36" spans="1:4" x14ac:dyDescent="0.35">
      <c r="A36" s="8">
        <v>35</v>
      </c>
      <c r="B36" s="6" t="s">
        <v>88</v>
      </c>
      <c r="C36" s="7" t="s">
        <v>89</v>
      </c>
      <c r="D36" s="32">
        <v>2.9672045809474232E-2</v>
      </c>
    </row>
    <row r="37" spans="1:4" x14ac:dyDescent="0.35">
      <c r="A37" s="8">
        <v>36</v>
      </c>
      <c r="B37" s="6" t="s">
        <v>93</v>
      </c>
      <c r="C37" s="7" t="s">
        <v>94</v>
      </c>
      <c r="D37" s="32">
        <v>2.936378466557912E-2</v>
      </c>
    </row>
    <row r="38" spans="1:4" x14ac:dyDescent="0.35">
      <c r="A38" s="8">
        <v>37</v>
      </c>
      <c r="B38" s="6" t="s">
        <v>119</v>
      </c>
      <c r="C38" s="7" t="s">
        <v>120</v>
      </c>
      <c r="D38" s="32">
        <v>2.6842362127867253E-2</v>
      </c>
    </row>
    <row r="39" spans="1:4" x14ac:dyDescent="0.35">
      <c r="A39" s="8">
        <v>38</v>
      </c>
      <c r="B39" s="6" t="s">
        <v>85</v>
      </c>
      <c r="C39" s="7" t="s">
        <v>86</v>
      </c>
      <c r="D39" s="32">
        <v>3.7674280628893504E-2</v>
      </c>
    </row>
    <row r="40" spans="1:4" x14ac:dyDescent="0.35">
      <c r="A40" s="8">
        <v>39</v>
      </c>
      <c r="B40" s="6" t="s">
        <v>164</v>
      </c>
      <c r="C40" s="7" t="s">
        <v>165</v>
      </c>
      <c r="D40" s="32">
        <v>1.4455044810638912E-3</v>
      </c>
    </row>
    <row r="41" spans="1:4" x14ac:dyDescent="0.35">
      <c r="A41" s="8">
        <v>40</v>
      </c>
      <c r="B41" s="6" t="s">
        <v>140</v>
      </c>
      <c r="C41" s="7" t="s">
        <v>141</v>
      </c>
      <c r="D41" s="32">
        <v>4.0175557056043212E-2</v>
      </c>
    </row>
    <row r="42" spans="1:4" x14ac:dyDescent="0.35">
      <c r="A42" s="8">
        <v>41</v>
      </c>
      <c r="B42" s="6" t="s">
        <v>50</v>
      </c>
      <c r="C42" s="7" t="s">
        <v>51</v>
      </c>
      <c r="D42" s="32">
        <v>5.0818553888130967E-2</v>
      </c>
    </row>
    <row r="43" spans="1:4" x14ac:dyDescent="0.35">
      <c r="A43" s="8">
        <v>42</v>
      </c>
      <c r="B43" s="6" t="s">
        <v>136</v>
      </c>
      <c r="C43" s="7" t="s">
        <v>137</v>
      </c>
      <c r="D43" s="32">
        <v>1.4216661927779358E-3</v>
      </c>
    </row>
    <row r="44" spans="1:4" x14ac:dyDescent="0.35">
      <c r="A44" s="8">
        <v>43</v>
      </c>
      <c r="B44" s="6" t="s">
        <v>29</v>
      </c>
      <c r="C44" s="7" t="s">
        <v>30</v>
      </c>
      <c r="D44" s="32">
        <v>4.3256997455470736E-2</v>
      </c>
    </row>
    <row r="45" spans="1:4" x14ac:dyDescent="0.35">
      <c r="A45" s="8">
        <v>44</v>
      </c>
      <c r="B45" s="6" t="s">
        <v>26</v>
      </c>
      <c r="C45" s="7" t="s">
        <v>27</v>
      </c>
      <c r="D45" s="32">
        <v>3.1795160382667415E-2</v>
      </c>
    </row>
    <row r="46" spans="1:4" x14ac:dyDescent="0.35">
      <c r="A46" s="8">
        <v>45</v>
      </c>
      <c r="B46" s="6" t="s">
        <v>53</v>
      </c>
      <c r="C46" s="7" t="s">
        <v>54</v>
      </c>
      <c r="D46" s="32">
        <v>2.8890015205271159E-2</v>
      </c>
    </row>
    <row r="47" spans="1:4" x14ac:dyDescent="0.35">
      <c r="A47" s="8">
        <v>46</v>
      </c>
      <c r="B47" s="6" t="s">
        <v>73</v>
      </c>
      <c r="C47" s="7" t="s">
        <v>74</v>
      </c>
      <c r="D47" s="32">
        <v>2.7509751591049066E-2</v>
      </c>
    </row>
    <row r="48" spans="1:4" x14ac:dyDescent="0.35">
      <c r="A48" s="8">
        <v>47</v>
      </c>
      <c r="B48" s="6" t="s">
        <v>69</v>
      </c>
      <c r="C48" s="7" t="s">
        <v>70</v>
      </c>
      <c r="D48" s="32">
        <v>0.1746987951807229</v>
      </c>
    </row>
    <row r="49" spans="1:4" x14ac:dyDescent="0.35">
      <c r="A49" s="8">
        <v>48</v>
      </c>
      <c r="B49" s="6" t="s">
        <v>59</v>
      </c>
      <c r="C49" s="7" t="s">
        <v>60</v>
      </c>
      <c r="D49" s="32">
        <v>2.965931863727455E-2</v>
      </c>
    </row>
    <row r="50" spans="1:4" x14ac:dyDescent="0.35">
      <c r="A50" s="8">
        <v>49</v>
      </c>
      <c r="B50" s="6" t="s">
        <v>13</v>
      </c>
      <c r="C50" s="7" t="s">
        <v>14</v>
      </c>
      <c r="D50" s="32">
        <v>2.3033570203381523E-2</v>
      </c>
    </row>
    <row r="51" spans="1:4" x14ac:dyDescent="0.35">
      <c r="A51" s="8">
        <v>50</v>
      </c>
      <c r="B51" s="6" t="s">
        <v>18</v>
      </c>
      <c r="C51" s="7" t="s">
        <v>19</v>
      </c>
      <c r="D51" s="32">
        <v>4.0196078431372552E-2</v>
      </c>
    </row>
    <row r="52" spans="1:4" x14ac:dyDescent="0.35">
      <c r="A52" s="8">
        <v>51</v>
      </c>
      <c r="B52" s="6" t="s">
        <v>20</v>
      </c>
      <c r="C52" s="7" t="s">
        <v>21</v>
      </c>
      <c r="D52" s="32">
        <v>3.7801608579088472E-2</v>
      </c>
    </row>
    <row r="53" spans="1:4" x14ac:dyDescent="0.35">
      <c r="A53" s="8">
        <v>52</v>
      </c>
      <c r="B53" s="6" t="s">
        <v>99</v>
      </c>
      <c r="C53" s="7" t="s">
        <v>100</v>
      </c>
      <c r="D53" s="32">
        <v>4.264647269828617E-2</v>
      </c>
    </row>
    <row r="54" spans="1:4" x14ac:dyDescent="0.35">
      <c r="A54" s="8">
        <v>53</v>
      </c>
      <c r="B54" s="6" t="s">
        <v>123</v>
      </c>
      <c r="C54" s="7" t="s">
        <v>124</v>
      </c>
      <c r="D54" s="32">
        <v>1.0822510822510823E-3</v>
      </c>
    </row>
    <row r="55" spans="1:4" x14ac:dyDescent="0.35">
      <c r="A55" s="8">
        <v>54</v>
      </c>
      <c r="B55" s="6" t="s">
        <v>79</v>
      </c>
      <c r="C55" s="7" t="s">
        <v>80</v>
      </c>
      <c r="D55" s="32">
        <v>3.0728476821192053E-2</v>
      </c>
    </row>
    <row r="56" spans="1:4" x14ac:dyDescent="0.35">
      <c r="A56" s="8">
        <v>55</v>
      </c>
      <c r="B56" s="6" t="s">
        <v>4</v>
      </c>
      <c r="C56" s="7" t="s">
        <v>5</v>
      </c>
      <c r="D56" s="32">
        <v>3.5392921415716858E-2</v>
      </c>
    </row>
    <row r="57" spans="1:4" x14ac:dyDescent="0.35">
      <c r="A57" s="8">
        <v>56</v>
      </c>
      <c r="B57" s="6" t="s">
        <v>113</v>
      </c>
      <c r="C57" s="7" t="s">
        <v>114</v>
      </c>
      <c r="D57" s="32">
        <v>3.5302593659942365E-2</v>
      </c>
    </row>
    <row r="58" spans="1:4" x14ac:dyDescent="0.35">
      <c r="A58" s="8">
        <v>57</v>
      </c>
      <c r="B58" s="6" t="s">
        <v>103</v>
      </c>
      <c r="C58" s="7" t="s">
        <v>104</v>
      </c>
      <c r="D58" s="32">
        <v>2.0798514391829157E-2</v>
      </c>
    </row>
    <row r="59" spans="1:4" x14ac:dyDescent="0.35">
      <c r="A59" s="8">
        <v>58</v>
      </c>
      <c r="B59" s="6" t="s">
        <v>61</v>
      </c>
      <c r="C59" s="7" t="s">
        <v>62</v>
      </c>
      <c r="D59" s="32">
        <v>2.0893789901334881E-2</v>
      </c>
    </row>
    <row r="60" spans="1:4" x14ac:dyDescent="0.35">
      <c r="A60" s="8">
        <v>59</v>
      </c>
      <c r="B60" s="6" t="s">
        <v>111</v>
      </c>
      <c r="C60" s="7" t="s">
        <v>112</v>
      </c>
      <c r="D60" s="32">
        <v>2.9914529914529916E-2</v>
      </c>
    </row>
    <row r="61" spans="1:4" x14ac:dyDescent="0.35">
      <c r="A61" s="8">
        <v>60</v>
      </c>
      <c r="B61" s="6" t="s">
        <v>130</v>
      </c>
      <c r="C61" s="7" t="s">
        <v>131</v>
      </c>
      <c r="D61" s="32">
        <v>3.3055765833964169E-2</v>
      </c>
    </row>
    <row r="62" spans="1:4" x14ac:dyDescent="0.35">
      <c r="A62" s="9">
        <v>61</v>
      </c>
      <c r="B62" s="10" t="s">
        <v>253</v>
      </c>
      <c r="C62" s="11" t="s">
        <v>254</v>
      </c>
      <c r="D62" s="33">
        <v>1.0247651579846286E-2</v>
      </c>
    </row>
    <row r="63" spans="1:4" x14ac:dyDescent="0.35">
      <c r="A63" s="8">
        <v>62</v>
      </c>
      <c r="B63" s="6" t="s">
        <v>7</v>
      </c>
      <c r="C63" s="7" t="s">
        <v>8</v>
      </c>
      <c r="D63" s="32">
        <v>5.0992604126119112E-2</v>
      </c>
    </row>
    <row r="64" spans="1:4" x14ac:dyDescent="0.35">
      <c r="A64" s="9">
        <v>63</v>
      </c>
      <c r="B64" s="6" t="s">
        <v>24</v>
      </c>
      <c r="C64" s="7" t="s">
        <v>25</v>
      </c>
      <c r="D64" s="32">
        <v>6.2683284457478006E-2</v>
      </c>
    </row>
    <row r="65" spans="1:4" x14ac:dyDescent="0.35">
      <c r="A65" s="8">
        <v>64</v>
      </c>
      <c r="B65" s="6" t="s">
        <v>22</v>
      </c>
      <c r="C65" s="7" t="s">
        <v>23</v>
      </c>
      <c r="D65" s="32">
        <v>3.6066981537140406E-2</v>
      </c>
    </row>
    <row r="66" spans="1:4" x14ac:dyDescent="0.35">
      <c r="A66" s="9">
        <v>65</v>
      </c>
      <c r="B66" s="6" t="s">
        <v>101</v>
      </c>
      <c r="C66" s="7" t="s">
        <v>102</v>
      </c>
      <c r="D66" s="32">
        <v>5.4111631870472944E-2</v>
      </c>
    </row>
    <row r="67" spans="1:4" x14ac:dyDescent="0.35">
      <c r="A67" s="8">
        <v>66</v>
      </c>
      <c r="B67" s="6" t="s">
        <v>83</v>
      </c>
      <c r="C67" s="7" t="s">
        <v>84</v>
      </c>
      <c r="D67" s="32">
        <v>3.332491795001262E-2</v>
      </c>
    </row>
    <row r="68" spans="1:4" x14ac:dyDescent="0.35">
      <c r="A68" s="9">
        <v>67</v>
      </c>
      <c r="B68" s="6" t="s">
        <v>134</v>
      </c>
      <c r="C68" s="7" t="s">
        <v>135</v>
      </c>
      <c r="D68" s="32">
        <v>3.4501061571125266E-3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4BA6-0078-4202-B195-325E75E0B6A0}">
  <sheetPr>
    <tabColor theme="9" tint="0.79998168889431442"/>
  </sheetPr>
  <dimension ref="A1:D68"/>
  <sheetViews>
    <sheetView topLeftCell="A40" workbookViewId="0">
      <selection activeCell="C47" sqref="C47"/>
    </sheetView>
  </sheetViews>
  <sheetFormatPr defaultRowHeight="14.5" x14ac:dyDescent="0.35"/>
  <cols>
    <col min="1" max="1" width="5.1796875" customWidth="1"/>
    <col min="2" max="2" width="11.7265625" customWidth="1"/>
    <col min="3" max="3" width="19.453125" bestFit="1" customWidth="1"/>
    <col min="4" max="4" width="18.26953125" customWidth="1"/>
  </cols>
  <sheetData>
    <row r="1" spans="1:4" x14ac:dyDescent="0.35">
      <c r="A1" s="12" t="s">
        <v>159</v>
      </c>
      <c r="B1" s="13" t="s">
        <v>156</v>
      </c>
      <c r="C1" s="13" t="s">
        <v>160</v>
      </c>
      <c r="D1" s="14" t="s">
        <v>166</v>
      </c>
    </row>
    <row r="2" spans="1:4" x14ac:dyDescent="0.35">
      <c r="A2" s="8">
        <v>1</v>
      </c>
      <c r="B2" s="6" t="s">
        <v>35</v>
      </c>
      <c r="C2" s="7" t="s">
        <v>36</v>
      </c>
      <c r="D2" s="34">
        <v>7.1523178807947022E-2</v>
      </c>
    </row>
    <row r="3" spans="1:4" x14ac:dyDescent="0.35">
      <c r="A3" s="8">
        <v>2</v>
      </c>
      <c r="B3" s="6" t="s">
        <v>38</v>
      </c>
      <c r="C3" s="7" t="s">
        <v>39</v>
      </c>
      <c r="D3" s="34">
        <v>6.6884176182707991E-2</v>
      </c>
    </row>
    <row r="4" spans="1:4" x14ac:dyDescent="0.35">
      <c r="A4" s="8">
        <v>3</v>
      </c>
      <c r="B4" s="6" t="s">
        <v>128</v>
      </c>
      <c r="C4" s="7" t="s">
        <v>129</v>
      </c>
      <c r="D4" s="34">
        <v>7.9463364293085662E-2</v>
      </c>
    </row>
    <row r="5" spans="1:4" x14ac:dyDescent="0.35">
      <c r="A5" s="8">
        <v>4</v>
      </c>
      <c r="B5" s="6" t="s">
        <v>57</v>
      </c>
      <c r="C5" s="7" t="s">
        <v>58</v>
      </c>
      <c r="D5" s="34">
        <v>7.5871195412439349E-2</v>
      </c>
    </row>
    <row r="6" spans="1:4" x14ac:dyDescent="0.35">
      <c r="A6" s="8">
        <v>5</v>
      </c>
      <c r="B6" s="6" t="s">
        <v>41</v>
      </c>
      <c r="C6" s="7" t="s">
        <v>42</v>
      </c>
      <c r="D6" s="34">
        <v>7.0272259013980862E-2</v>
      </c>
    </row>
    <row r="7" spans="1:4" x14ac:dyDescent="0.35">
      <c r="A7" s="8">
        <v>6</v>
      </c>
      <c r="B7" s="6" t="s">
        <v>77</v>
      </c>
      <c r="C7" s="7" t="s">
        <v>78</v>
      </c>
      <c r="D7" s="34">
        <v>6.955645161290322E-2</v>
      </c>
    </row>
    <row r="8" spans="1:4" x14ac:dyDescent="0.35">
      <c r="A8" s="8">
        <v>7</v>
      </c>
      <c r="B8" s="6" t="s">
        <v>105</v>
      </c>
      <c r="C8" s="7" t="s">
        <v>106</v>
      </c>
      <c r="D8" s="34">
        <v>6.0994205550472704E-4</v>
      </c>
    </row>
    <row r="9" spans="1:4" x14ac:dyDescent="0.35">
      <c r="A9" s="8">
        <v>8</v>
      </c>
      <c r="B9" s="6" t="s">
        <v>97</v>
      </c>
      <c r="C9" s="7" t="s">
        <v>98</v>
      </c>
      <c r="D9" s="34">
        <v>4.1645111226073464E-2</v>
      </c>
    </row>
    <row r="10" spans="1:4" x14ac:dyDescent="0.35">
      <c r="A10" s="8">
        <v>9</v>
      </c>
      <c r="B10" s="6" t="s">
        <v>63</v>
      </c>
      <c r="C10" s="7" t="s">
        <v>64</v>
      </c>
      <c r="D10" s="34">
        <v>5.7876818322500773E-2</v>
      </c>
    </row>
    <row r="11" spans="1:4" x14ac:dyDescent="0.35">
      <c r="A11" s="8">
        <v>10</v>
      </c>
      <c r="B11" s="6" t="s">
        <v>65</v>
      </c>
      <c r="C11" s="7" t="s">
        <v>66</v>
      </c>
      <c r="D11" s="34">
        <v>5.98256735340729E-2</v>
      </c>
    </row>
    <row r="12" spans="1:4" x14ac:dyDescent="0.35">
      <c r="A12" s="8">
        <v>11</v>
      </c>
      <c r="B12" s="6" t="s">
        <v>48</v>
      </c>
      <c r="C12" s="7" t="s">
        <v>49</v>
      </c>
      <c r="D12" s="34">
        <v>7.1156289707750953E-2</v>
      </c>
    </row>
    <row r="13" spans="1:4" x14ac:dyDescent="0.35">
      <c r="A13" s="8">
        <v>12</v>
      </c>
      <c r="B13" s="6" t="s">
        <v>143</v>
      </c>
      <c r="C13" s="7" t="s">
        <v>144</v>
      </c>
      <c r="D13" s="34">
        <v>6.890835898650248E-2</v>
      </c>
    </row>
    <row r="14" spans="1:4" x14ac:dyDescent="0.35">
      <c r="A14" s="8">
        <v>13</v>
      </c>
      <c r="B14" s="6" t="s">
        <v>32</v>
      </c>
      <c r="C14" s="7" t="s">
        <v>33</v>
      </c>
      <c r="D14" s="32">
        <v>6.5523809523809526E-2</v>
      </c>
    </row>
    <row r="15" spans="1:4" x14ac:dyDescent="0.35">
      <c r="A15" s="8">
        <v>14</v>
      </c>
      <c r="B15" s="6" t="s">
        <v>16</v>
      </c>
      <c r="C15" s="7" t="s">
        <v>17</v>
      </c>
      <c r="D15" s="32">
        <v>5.3345388788426762E-2</v>
      </c>
    </row>
    <row r="16" spans="1:4" x14ac:dyDescent="0.35">
      <c r="A16" s="8">
        <v>15</v>
      </c>
      <c r="B16" s="6" t="s">
        <v>10</v>
      </c>
      <c r="C16" s="7" t="s">
        <v>11</v>
      </c>
      <c r="D16" s="32">
        <v>6.4502875924404277E-2</v>
      </c>
    </row>
    <row r="17" spans="1:4" x14ac:dyDescent="0.35">
      <c r="A17" s="8">
        <v>16</v>
      </c>
      <c r="B17" s="6" t="s">
        <v>90</v>
      </c>
      <c r="C17" s="7" t="s">
        <v>91</v>
      </c>
      <c r="D17" s="34">
        <v>3.8595810705973621E-2</v>
      </c>
    </row>
    <row r="18" spans="1:4" x14ac:dyDescent="0.35">
      <c r="A18" s="8">
        <v>17</v>
      </c>
      <c r="B18" s="6" t="s">
        <v>162</v>
      </c>
      <c r="C18" s="7" t="s">
        <v>163</v>
      </c>
      <c r="D18" s="34">
        <v>0.133499466002136</v>
      </c>
    </row>
    <row r="19" spans="1:4" x14ac:dyDescent="0.35">
      <c r="A19" s="8">
        <v>18</v>
      </c>
      <c r="B19" s="6" t="s">
        <v>289</v>
      </c>
      <c r="C19" s="7" t="s">
        <v>290</v>
      </c>
      <c r="D19" s="32">
        <v>1.4E-2</v>
      </c>
    </row>
    <row r="20" spans="1:4" x14ac:dyDescent="0.35">
      <c r="A20" s="8">
        <v>19</v>
      </c>
      <c r="B20" s="6" t="s">
        <v>46</v>
      </c>
      <c r="C20" s="7" t="s">
        <v>47</v>
      </c>
      <c r="D20" s="32">
        <v>6.4066852367688026E-2</v>
      </c>
    </row>
    <row r="21" spans="1:4" x14ac:dyDescent="0.35">
      <c r="A21" s="8">
        <v>20</v>
      </c>
      <c r="B21" s="6" t="s">
        <v>107</v>
      </c>
      <c r="C21" s="7" t="s">
        <v>108</v>
      </c>
      <c r="D21" s="32">
        <v>2.3405500292568754E-3</v>
      </c>
    </row>
    <row r="22" spans="1:4" x14ac:dyDescent="0.35">
      <c r="A22" s="8">
        <v>21</v>
      </c>
      <c r="B22" s="6" t="s">
        <v>55</v>
      </c>
      <c r="C22" s="7" t="s">
        <v>56</v>
      </c>
      <c r="D22" s="32">
        <v>5.3735926305015357E-2</v>
      </c>
    </row>
    <row r="23" spans="1:4" x14ac:dyDescent="0.35">
      <c r="A23" s="8">
        <v>22</v>
      </c>
      <c r="B23" s="6" t="s">
        <v>81</v>
      </c>
      <c r="C23" s="7" t="s">
        <v>82</v>
      </c>
      <c r="D23" s="32">
        <v>6.175619170151174E-2</v>
      </c>
    </row>
    <row r="24" spans="1:4" x14ac:dyDescent="0.35">
      <c r="A24" s="8">
        <v>23</v>
      </c>
      <c r="B24" s="6" t="s">
        <v>138</v>
      </c>
      <c r="C24" s="7" t="s">
        <v>139</v>
      </c>
      <c r="D24" s="32">
        <v>7.4358974358974358E-2</v>
      </c>
    </row>
    <row r="25" spans="1:4" x14ac:dyDescent="0.35">
      <c r="A25" s="8">
        <v>24</v>
      </c>
      <c r="B25" s="6" t="s">
        <v>125</v>
      </c>
      <c r="C25" s="7" t="s">
        <v>126</v>
      </c>
      <c r="D25" s="32">
        <v>5.1044697170060833E-2</v>
      </c>
    </row>
    <row r="26" spans="1:4" x14ac:dyDescent="0.35">
      <c r="A26" s="8">
        <v>25</v>
      </c>
      <c r="B26" s="6" t="s">
        <v>132</v>
      </c>
      <c r="C26" s="7" t="s">
        <v>133</v>
      </c>
      <c r="D26" s="32">
        <v>2.3652365236523653E-2</v>
      </c>
    </row>
    <row r="27" spans="1:4" x14ac:dyDescent="0.35">
      <c r="A27" s="8">
        <v>26</v>
      </c>
      <c r="B27" s="6" t="s">
        <v>71</v>
      </c>
      <c r="C27" s="7" t="s">
        <v>72</v>
      </c>
      <c r="D27" s="32">
        <v>6.1083743842364535E-2</v>
      </c>
    </row>
    <row r="28" spans="1:4" x14ac:dyDescent="0.35">
      <c r="A28" s="8">
        <v>27</v>
      </c>
      <c r="B28" s="6" t="s">
        <v>75</v>
      </c>
      <c r="C28" s="7" t="s">
        <v>76</v>
      </c>
      <c r="D28" s="32">
        <v>8.0170273146505849E-2</v>
      </c>
    </row>
    <row r="29" spans="1:4" x14ac:dyDescent="0.35">
      <c r="A29" s="8">
        <v>28</v>
      </c>
      <c r="B29" s="6" t="s">
        <v>43</v>
      </c>
      <c r="C29" s="7" t="s">
        <v>44</v>
      </c>
      <c r="D29" s="32">
        <v>5.9234507897934385E-2</v>
      </c>
    </row>
    <row r="30" spans="1:4" x14ac:dyDescent="0.35">
      <c r="A30" s="8">
        <v>29</v>
      </c>
      <c r="B30" s="6" t="s">
        <v>109</v>
      </c>
      <c r="C30" s="7" t="s">
        <v>110</v>
      </c>
      <c r="D30" s="32">
        <v>5.8004640371229696E-2</v>
      </c>
    </row>
    <row r="31" spans="1:4" x14ac:dyDescent="0.35">
      <c r="A31" s="8">
        <v>30</v>
      </c>
      <c r="B31" s="6" t="s">
        <v>95</v>
      </c>
      <c r="C31" s="7" t="s">
        <v>96</v>
      </c>
      <c r="D31" s="32">
        <v>5.1054384017758046E-2</v>
      </c>
    </row>
    <row r="32" spans="1:4" x14ac:dyDescent="0.35">
      <c r="A32" s="8">
        <v>31</v>
      </c>
      <c r="B32" s="6" t="s">
        <v>115</v>
      </c>
      <c r="C32" s="7" t="s">
        <v>116</v>
      </c>
      <c r="D32" s="32">
        <v>3.3367556468172485E-3</v>
      </c>
    </row>
    <row r="33" spans="1:4" x14ac:dyDescent="0.35">
      <c r="A33" s="8">
        <v>32</v>
      </c>
      <c r="B33" s="6" t="s">
        <v>121</v>
      </c>
      <c r="C33" s="7" t="s">
        <v>122</v>
      </c>
      <c r="D33" s="32">
        <v>4.4768856447688563E-2</v>
      </c>
    </row>
    <row r="34" spans="1:4" x14ac:dyDescent="0.35">
      <c r="A34" s="8">
        <v>33</v>
      </c>
      <c r="B34" s="6" t="s">
        <v>67</v>
      </c>
      <c r="C34" s="7" t="s">
        <v>68</v>
      </c>
      <c r="D34" s="32">
        <v>6.4885496183206104E-2</v>
      </c>
    </row>
    <row r="35" spans="1:4" x14ac:dyDescent="0.35">
      <c r="A35" s="8">
        <v>34</v>
      </c>
      <c r="B35" s="6" t="s">
        <v>117</v>
      </c>
      <c r="C35" s="7" t="s">
        <v>118</v>
      </c>
      <c r="D35" s="32">
        <v>0.11246081504702195</v>
      </c>
    </row>
    <row r="36" spans="1:4" x14ac:dyDescent="0.35">
      <c r="A36" s="8">
        <v>35</v>
      </c>
      <c r="B36" s="6" t="s">
        <v>88</v>
      </c>
      <c r="C36" s="7" t="s">
        <v>89</v>
      </c>
      <c r="D36" s="32">
        <v>6.1686621551275377E-2</v>
      </c>
    </row>
    <row r="37" spans="1:4" x14ac:dyDescent="0.35">
      <c r="A37" s="8">
        <v>36</v>
      </c>
      <c r="B37" s="6" t="s">
        <v>93</v>
      </c>
      <c r="C37" s="7" t="s">
        <v>94</v>
      </c>
      <c r="D37" s="34">
        <v>6.5252854812398037E-2</v>
      </c>
    </row>
    <row r="38" spans="1:4" x14ac:dyDescent="0.35">
      <c r="A38" s="8">
        <v>37</v>
      </c>
      <c r="B38" s="6" t="s">
        <v>119</v>
      </c>
      <c r="C38" s="7" t="s">
        <v>120</v>
      </c>
      <c r="D38" s="34">
        <v>4.2703757930697903E-2</v>
      </c>
    </row>
    <row r="39" spans="1:4" x14ac:dyDescent="0.35">
      <c r="A39" s="8">
        <v>38</v>
      </c>
      <c r="B39" s="6" t="s">
        <v>85</v>
      </c>
      <c r="C39" s="7" t="s">
        <v>86</v>
      </c>
      <c r="D39" s="34">
        <v>4.5980421239988134E-2</v>
      </c>
    </row>
    <row r="40" spans="1:4" x14ac:dyDescent="0.35">
      <c r="A40" s="8">
        <v>39</v>
      </c>
      <c r="B40" s="6" t="s">
        <v>164</v>
      </c>
      <c r="C40" s="7" t="s">
        <v>165</v>
      </c>
      <c r="D40" s="34">
        <v>1.4455044810638912E-3</v>
      </c>
    </row>
    <row r="41" spans="1:4" x14ac:dyDescent="0.35">
      <c r="A41" s="8">
        <v>40</v>
      </c>
      <c r="B41" s="6" t="s">
        <v>140</v>
      </c>
      <c r="C41" s="7" t="s">
        <v>141</v>
      </c>
      <c r="D41" s="32">
        <v>6.5158676569885207E-2</v>
      </c>
    </row>
    <row r="42" spans="1:4" x14ac:dyDescent="0.35">
      <c r="A42" s="8">
        <v>41</v>
      </c>
      <c r="B42" s="6" t="s">
        <v>50</v>
      </c>
      <c r="C42" s="7" t="s">
        <v>51</v>
      </c>
      <c r="D42" s="32">
        <v>7.5375170532060026E-2</v>
      </c>
    </row>
    <row r="43" spans="1:4" x14ac:dyDescent="0.35">
      <c r="A43" s="8">
        <v>42</v>
      </c>
      <c r="B43" s="6" t="s">
        <v>136</v>
      </c>
      <c r="C43" s="7" t="s">
        <v>137</v>
      </c>
      <c r="D43" s="32">
        <v>1.4216661927779358E-3</v>
      </c>
    </row>
    <row r="44" spans="1:4" x14ac:dyDescent="0.35">
      <c r="A44" s="8">
        <v>43</v>
      </c>
      <c r="B44" s="6" t="s">
        <v>29</v>
      </c>
      <c r="C44" s="7" t="s">
        <v>30</v>
      </c>
      <c r="D44" s="32">
        <v>6.955046649703138E-2</v>
      </c>
    </row>
    <row r="45" spans="1:4" x14ac:dyDescent="0.35">
      <c r="A45" s="8">
        <v>44</v>
      </c>
      <c r="B45" s="6" t="s">
        <v>26</v>
      </c>
      <c r="C45" s="7" t="s">
        <v>27</v>
      </c>
      <c r="D45" s="32">
        <v>4.4738323016319637E-2</v>
      </c>
    </row>
    <row r="46" spans="1:4" x14ac:dyDescent="0.35">
      <c r="A46" s="8">
        <v>45</v>
      </c>
      <c r="B46" s="6" t="s">
        <v>53</v>
      </c>
      <c r="C46" s="7" t="s">
        <v>54</v>
      </c>
      <c r="D46" s="32">
        <v>4.6882919412062851E-2</v>
      </c>
    </row>
    <row r="47" spans="1:4" x14ac:dyDescent="0.35">
      <c r="A47" s="8">
        <v>46</v>
      </c>
      <c r="B47" s="6" t="s">
        <v>73</v>
      </c>
      <c r="C47" s="7" t="s">
        <v>74</v>
      </c>
      <c r="D47" s="32">
        <v>4.4549373845206325E-2</v>
      </c>
    </row>
    <row r="48" spans="1:4" x14ac:dyDescent="0.35">
      <c r="A48" s="8">
        <v>47</v>
      </c>
      <c r="B48" s="6" t="s">
        <v>69</v>
      </c>
      <c r="C48" s="7" t="s">
        <v>70</v>
      </c>
      <c r="D48" s="32">
        <v>0.20180722891566266</v>
      </c>
    </row>
    <row r="49" spans="1:4" x14ac:dyDescent="0.35">
      <c r="A49" s="8">
        <v>48</v>
      </c>
      <c r="B49" s="6" t="s">
        <v>59</v>
      </c>
      <c r="C49" s="7" t="s">
        <v>60</v>
      </c>
      <c r="D49" s="32">
        <v>5.0100200400801605E-2</v>
      </c>
    </row>
    <row r="50" spans="1:4" x14ac:dyDescent="0.35">
      <c r="A50" s="8">
        <v>49</v>
      </c>
      <c r="B50" s="6" t="s">
        <v>13</v>
      </c>
      <c r="C50" s="7" t="s">
        <v>14</v>
      </c>
      <c r="D50" s="32">
        <v>5.0477824062729722E-2</v>
      </c>
    </row>
    <row r="51" spans="1:4" x14ac:dyDescent="0.35">
      <c r="A51" s="8">
        <v>50</v>
      </c>
      <c r="B51" s="6" t="s">
        <v>18</v>
      </c>
      <c r="C51" s="7" t="s">
        <v>19</v>
      </c>
      <c r="D51" s="32">
        <v>6.4215686274509798E-2</v>
      </c>
    </row>
    <row r="52" spans="1:4" x14ac:dyDescent="0.35">
      <c r="A52" s="8">
        <v>51</v>
      </c>
      <c r="B52" s="6" t="s">
        <v>20</v>
      </c>
      <c r="C52" s="7" t="s">
        <v>21</v>
      </c>
      <c r="D52" s="32">
        <v>8.6863270777479892E-2</v>
      </c>
    </row>
    <row r="53" spans="1:4" x14ac:dyDescent="0.35">
      <c r="A53" s="8">
        <v>52</v>
      </c>
      <c r="B53" s="6" t="s">
        <v>99</v>
      </c>
      <c r="C53" s="7" t="s">
        <v>100</v>
      </c>
      <c r="D53" s="32">
        <v>5.9386209645277001E-2</v>
      </c>
    </row>
    <row r="54" spans="1:4" x14ac:dyDescent="0.35">
      <c r="A54" s="8">
        <v>53</v>
      </c>
      <c r="B54" s="6" t="s">
        <v>123</v>
      </c>
      <c r="C54" s="7" t="s">
        <v>124</v>
      </c>
      <c r="D54" s="32">
        <v>1.0822510822510823E-3</v>
      </c>
    </row>
    <row r="55" spans="1:4" x14ac:dyDescent="0.35">
      <c r="A55" s="8">
        <v>54</v>
      </c>
      <c r="B55" s="6" t="s">
        <v>79</v>
      </c>
      <c r="C55" s="7" t="s">
        <v>80</v>
      </c>
      <c r="D55" s="32">
        <v>5.1125827814569536E-2</v>
      </c>
    </row>
    <row r="56" spans="1:4" x14ac:dyDescent="0.35">
      <c r="A56" s="8">
        <v>55</v>
      </c>
      <c r="B56" s="6" t="s">
        <v>4</v>
      </c>
      <c r="C56" s="7" t="s">
        <v>5</v>
      </c>
      <c r="D56" s="32">
        <v>5.3389322135572882E-2</v>
      </c>
    </row>
    <row r="57" spans="1:4" x14ac:dyDescent="0.35">
      <c r="A57" s="8">
        <v>56</v>
      </c>
      <c r="B57" s="6" t="s">
        <v>113</v>
      </c>
      <c r="C57" s="7" t="s">
        <v>114</v>
      </c>
      <c r="D57" s="32">
        <v>4.2146974063400573E-2</v>
      </c>
    </row>
    <row r="58" spans="1:4" x14ac:dyDescent="0.35">
      <c r="A58" s="8">
        <v>57</v>
      </c>
      <c r="B58" s="6" t="s">
        <v>103</v>
      </c>
      <c r="C58" s="7" t="s">
        <v>104</v>
      </c>
      <c r="D58" s="32">
        <v>2.8597957288765088E-2</v>
      </c>
    </row>
    <row r="59" spans="1:4" x14ac:dyDescent="0.35">
      <c r="A59" s="8">
        <v>58</v>
      </c>
      <c r="B59" s="6" t="s">
        <v>61</v>
      </c>
      <c r="C59" s="7" t="s">
        <v>62</v>
      </c>
      <c r="D59" s="32">
        <v>4.0626813697040048E-2</v>
      </c>
    </row>
    <row r="60" spans="1:4" x14ac:dyDescent="0.35">
      <c r="A60" s="8">
        <v>59</v>
      </c>
      <c r="B60" s="6" t="s">
        <v>111</v>
      </c>
      <c r="C60" s="7" t="s">
        <v>112</v>
      </c>
      <c r="D60" s="32">
        <v>6.1337355455002511E-2</v>
      </c>
    </row>
    <row r="61" spans="1:4" x14ac:dyDescent="0.35">
      <c r="A61" s="8">
        <v>60</v>
      </c>
      <c r="B61" s="6" t="s">
        <v>130</v>
      </c>
      <c r="C61" s="7" t="s">
        <v>131</v>
      </c>
      <c r="D61" s="32">
        <v>6.1317183951551855E-2</v>
      </c>
    </row>
    <row r="62" spans="1:4" x14ac:dyDescent="0.35">
      <c r="A62" s="9">
        <v>61</v>
      </c>
      <c r="B62" s="10" t="s">
        <v>253</v>
      </c>
      <c r="C62" s="11" t="s">
        <v>254</v>
      </c>
      <c r="D62" s="32">
        <v>1.0247651579846286E-2</v>
      </c>
    </row>
    <row r="63" spans="1:4" x14ac:dyDescent="0.35">
      <c r="A63" s="8">
        <v>62</v>
      </c>
      <c r="B63" s="6" t="s">
        <v>7</v>
      </c>
      <c r="C63" s="7" t="s">
        <v>8</v>
      </c>
      <c r="D63" s="32">
        <v>7.0455430128454649E-2</v>
      </c>
    </row>
    <row r="64" spans="1:4" x14ac:dyDescent="0.35">
      <c r="A64" s="9">
        <v>63</v>
      </c>
      <c r="B64" s="6" t="s">
        <v>24</v>
      </c>
      <c r="C64" s="7" t="s">
        <v>25</v>
      </c>
      <c r="D64" s="32">
        <v>8.5777126099706738E-2</v>
      </c>
    </row>
    <row r="65" spans="1:4" x14ac:dyDescent="0.35">
      <c r="A65" s="8">
        <v>64</v>
      </c>
      <c r="B65" s="6" t="s">
        <v>22</v>
      </c>
      <c r="C65" s="7" t="s">
        <v>23</v>
      </c>
      <c r="D65" s="32">
        <v>5.3241734650064404E-2</v>
      </c>
    </row>
    <row r="66" spans="1:4" x14ac:dyDescent="0.35">
      <c r="A66" s="9">
        <v>65</v>
      </c>
      <c r="B66" s="6" t="s">
        <v>101</v>
      </c>
      <c r="C66" s="7" t="s">
        <v>102</v>
      </c>
      <c r="D66" s="32">
        <v>6.9450362164465276E-2</v>
      </c>
    </row>
    <row r="67" spans="1:4" x14ac:dyDescent="0.35">
      <c r="A67" s="8">
        <v>66</v>
      </c>
      <c r="B67" s="6" t="s">
        <v>83</v>
      </c>
      <c r="C67" s="7" t="s">
        <v>84</v>
      </c>
      <c r="D67" s="32">
        <v>5.4279222418581165E-2</v>
      </c>
    </row>
    <row r="68" spans="1:4" x14ac:dyDescent="0.35">
      <c r="A68" s="9">
        <v>67</v>
      </c>
      <c r="B68" s="6" t="s">
        <v>134</v>
      </c>
      <c r="C68" s="7" t="s">
        <v>135</v>
      </c>
      <c r="D68" s="32">
        <v>3.4501061571125266E-3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065B-A6E6-4141-9F17-A63BFB280FFC}">
  <sheetPr>
    <tabColor theme="9" tint="0.79998168889431442"/>
  </sheetPr>
  <dimension ref="A1:F68"/>
  <sheetViews>
    <sheetView zoomScale="158" workbookViewId="0">
      <selection activeCell="D6" sqref="D6"/>
    </sheetView>
  </sheetViews>
  <sheetFormatPr defaultRowHeight="14.5" x14ac:dyDescent="0.35"/>
  <cols>
    <col min="1" max="1" width="14.54296875" bestFit="1" customWidth="1"/>
    <col min="2" max="2" width="22.54296875" bestFit="1" customWidth="1"/>
    <col min="3" max="3" width="15.90625" bestFit="1" customWidth="1"/>
    <col min="4" max="4" width="16.54296875" bestFit="1" customWidth="1"/>
    <col min="5" max="5" width="16.81640625" bestFit="1" customWidth="1"/>
    <col min="6" max="6" width="11.81640625" bestFit="1" customWidth="1"/>
  </cols>
  <sheetData>
    <row r="1" spans="1:6" x14ac:dyDescent="0.35">
      <c r="A1" s="37" t="s">
        <v>167</v>
      </c>
      <c r="B1" s="37" t="s">
        <v>168</v>
      </c>
      <c r="C1" s="37" t="s">
        <v>256</v>
      </c>
      <c r="D1" s="37" t="s">
        <v>257</v>
      </c>
      <c r="E1" s="37" t="s">
        <v>258</v>
      </c>
      <c r="F1" s="37" t="s">
        <v>259</v>
      </c>
    </row>
    <row r="2" spans="1:6" x14ac:dyDescent="0.35">
      <c r="A2" s="35" t="s">
        <v>136</v>
      </c>
      <c r="B2" s="35" t="s">
        <v>137</v>
      </c>
      <c r="C2" s="35" t="s">
        <v>248</v>
      </c>
      <c r="D2" s="35" t="s">
        <v>260</v>
      </c>
      <c r="E2" s="36">
        <v>46140</v>
      </c>
      <c r="F2" s="35" t="s">
        <v>261</v>
      </c>
    </row>
    <row r="3" spans="1:6" x14ac:dyDescent="0.35">
      <c r="A3" s="35" t="s">
        <v>38</v>
      </c>
      <c r="B3" s="35" t="s">
        <v>39</v>
      </c>
      <c r="C3" s="35" t="s">
        <v>240</v>
      </c>
      <c r="D3" s="35" t="s">
        <v>262</v>
      </c>
      <c r="E3" s="36">
        <v>46015</v>
      </c>
      <c r="F3" s="35" t="s">
        <v>261</v>
      </c>
    </row>
    <row r="4" spans="1:6" x14ac:dyDescent="0.35">
      <c r="A4" s="35" t="s">
        <v>57</v>
      </c>
      <c r="B4" s="35" t="s">
        <v>58</v>
      </c>
      <c r="C4" s="35" t="s">
        <v>263</v>
      </c>
      <c r="D4" s="35" t="s">
        <v>264</v>
      </c>
      <c r="E4" s="36">
        <v>45470</v>
      </c>
      <c r="F4" s="35" t="s">
        <v>261</v>
      </c>
    </row>
    <row r="5" spans="1:6" x14ac:dyDescent="0.35">
      <c r="A5" s="35" t="s">
        <v>53</v>
      </c>
      <c r="B5" s="35" t="s">
        <v>54</v>
      </c>
      <c r="C5" s="35" t="s">
        <v>250</v>
      </c>
      <c r="D5" s="35" t="s">
        <v>265</v>
      </c>
      <c r="E5" s="36">
        <v>45999</v>
      </c>
      <c r="F5" s="35" t="s">
        <v>261</v>
      </c>
    </row>
    <row r="6" spans="1:6" x14ac:dyDescent="0.35">
      <c r="A6" s="35" t="s">
        <v>13</v>
      </c>
      <c r="B6" s="35" t="s">
        <v>14</v>
      </c>
      <c r="C6" s="35" t="s">
        <v>266</v>
      </c>
      <c r="D6" s="35" t="s">
        <v>267</v>
      </c>
      <c r="E6" s="36">
        <v>45419</v>
      </c>
      <c r="F6" s="35" t="s">
        <v>268</v>
      </c>
    </row>
    <row r="7" spans="1:6" x14ac:dyDescent="0.35">
      <c r="A7" s="35" t="s">
        <v>113</v>
      </c>
      <c r="B7" s="35" t="s">
        <v>114</v>
      </c>
      <c r="C7" s="35" t="s">
        <v>251</v>
      </c>
      <c r="D7" s="35" t="s">
        <v>269</v>
      </c>
      <c r="E7" s="36">
        <v>45945</v>
      </c>
      <c r="F7" s="35" t="s">
        <v>268</v>
      </c>
    </row>
    <row r="8" spans="1:6" x14ac:dyDescent="0.35">
      <c r="A8" s="35" t="s">
        <v>83</v>
      </c>
      <c r="B8" s="35" t="s">
        <v>84</v>
      </c>
      <c r="C8" s="35" t="s">
        <v>270</v>
      </c>
      <c r="D8" s="35" t="s">
        <v>271</v>
      </c>
      <c r="E8" s="36">
        <v>46014</v>
      </c>
      <c r="F8" s="35" t="s">
        <v>261</v>
      </c>
    </row>
    <row r="9" spans="1:6" x14ac:dyDescent="0.35">
      <c r="A9" s="35" t="s">
        <v>128</v>
      </c>
      <c r="B9" s="35" t="s">
        <v>129</v>
      </c>
      <c r="C9" s="35" t="s">
        <v>272</v>
      </c>
      <c r="D9" s="35" t="s">
        <v>273</v>
      </c>
      <c r="E9" s="36">
        <v>46013</v>
      </c>
      <c r="F9" s="35" t="s">
        <v>261</v>
      </c>
    </row>
    <row r="10" spans="1:6" x14ac:dyDescent="0.35">
      <c r="A10" s="35" t="s">
        <v>67</v>
      </c>
      <c r="B10" s="35" t="s">
        <v>68</v>
      </c>
      <c r="C10" s="35" t="s">
        <v>242</v>
      </c>
      <c r="D10" s="35" t="s">
        <v>274</v>
      </c>
      <c r="E10" s="36">
        <v>45510</v>
      </c>
      <c r="F10" s="35" t="s">
        <v>261</v>
      </c>
    </row>
    <row r="11" spans="1:6" x14ac:dyDescent="0.35">
      <c r="A11" s="35" t="s">
        <v>99</v>
      </c>
      <c r="B11" s="35" t="s">
        <v>100</v>
      </c>
      <c r="C11" s="35" t="s">
        <v>266</v>
      </c>
      <c r="D11" s="35" t="s">
        <v>267</v>
      </c>
      <c r="E11" s="36">
        <v>45981</v>
      </c>
      <c r="F11" s="35" t="s">
        <v>268</v>
      </c>
    </row>
    <row r="12" spans="1:6" x14ac:dyDescent="0.35">
      <c r="A12" s="35" t="s">
        <v>16</v>
      </c>
      <c r="B12" s="35" t="s">
        <v>17</v>
      </c>
      <c r="C12" s="35" t="s">
        <v>244</v>
      </c>
      <c r="D12" s="35" t="s">
        <v>275</v>
      </c>
      <c r="E12" s="36">
        <v>45857</v>
      </c>
      <c r="F12" s="35" t="s">
        <v>268</v>
      </c>
    </row>
    <row r="13" spans="1:6" x14ac:dyDescent="0.35">
      <c r="A13" s="35" t="s">
        <v>69</v>
      </c>
      <c r="B13" s="35" t="s">
        <v>70</v>
      </c>
      <c r="C13" s="35" t="s">
        <v>266</v>
      </c>
      <c r="D13" s="35" t="s">
        <v>267</v>
      </c>
      <c r="E13" s="36">
        <v>44805</v>
      </c>
      <c r="F13" s="35" t="s">
        <v>268</v>
      </c>
    </row>
    <row r="14" spans="1:6" x14ac:dyDescent="0.35">
      <c r="A14" s="35" t="s">
        <v>59</v>
      </c>
      <c r="B14" s="35" t="s">
        <v>60</v>
      </c>
      <c r="C14" s="35" t="s">
        <v>266</v>
      </c>
      <c r="D14" s="35" t="s">
        <v>267</v>
      </c>
      <c r="E14" s="36">
        <v>45198</v>
      </c>
      <c r="F14" s="35" t="s">
        <v>268</v>
      </c>
    </row>
    <row r="15" spans="1:6" x14ac:dyDescent="0.35">
      <c r="A15" s="35" t="s">
        <v>7</v>
      </c>
      <c r="B15" s="35" t="s">
        <v>8</v>
      </c>
      <c r="C15" s="35" t="s">
        <v>252</v>
      </c>
      <c r="D15" s="35" t="s">
        <v>276</v>
      </c>
      <c r="E15" s="36">
        <v>45465</v>
      </c>
      <c r="F15" s="35" t="s">
        <v>261</v>
      </c>
    </row>
    <row r="16" spans="1:6" x14ac:dyDescent="0.35">
      <c r="A16" s="35" t="s">
        <v>88</v>
      </c>
      <c r="B16" s="35" t="s">
        <v>89</v>
      </c>
      <c r="C16" s="35" t="s">
        <v>242</v>
      </c>
      <c r="D16" s="35" t="s">
        <v>274</v>
      </c>
      <c r="E16" s="36">
        <v>45695</v>
      </c>
      <c r="F16" s="35" t="s">
        <v>261</v>
      </c>
    </row>
    <row r="17" spans="1:6" x14ac:dyDescent="0.35">
      <c r="A17" s="35" t="s">
        <v>81</v>
      </c>
      <c r="B17" s="35" t="s">
        <v>82</v>
      </c>
      <c r="C17" s="35" t="s">
        <v>277</v>
      </c>
      <c r="D17" s="35" t="s">
        <v>278</v>
      </c>
      <c r="E17" s="36">
        <v>46073</v>
      </c>
      <c r="F17" s="35" t="s">
        <v>261</v>
      </c>
    </row>
    <row r="18" spans="1:6" x14ac:dyDescent="0.35">
      <c r="A18" s="35" t="s">
        <v>65</v>
      </c>
      <c r="B18" s="35" t="s">
        <v>66</v>
      </c>
      <c r="C18" s="35" t="s">
        <v>263</v>
      </c>
      <c r="D18" s="35" t="s">
        <v>264</v>
      </c>
      <c r="E18" s="36">
        <v>46014</v>
      </c>
      <c r="F18" s="35" t="s">
        <v>261</v>
      </c>
    </row>
    <row r="19" spans="1:6" x14ac:dyDescent="0.35">
      <c r="A19" s="35" t="s">
        <v>26</v>
      </c>
      <c r="B19" s="35" t="s">
        <v>27</v>
      </c>
      <c r="C19" s="35" t="s">
        <v>250</v>
      </c>
      <c r="D19" s="35" t="s">
        <v>265</v>
      </c>
      <c r="E19" s="36">
        <v>45860</v>
      </c>
      <c r="F19" s="35" t="s">
        <v>261</v>
      </c>
    </row>
    <row r="20" spans="1:6" x14ac:dyDescent="0.35">
      <c r="A20" s="35" t="s">
        <v>4</v>
      </c>
      <c r="B20" s="35" t="s">
        <v>5</v>
      </c>
      <c r="C20" s="35" t="s">
        <v>251</v>
      </c>
      <c r="D20" s="35" t="s">
        <v>269</v>
      </c>
      <c r="E20" s="36">
        <v>45925</v>
      </c>
      <c r="F20" s="35" t="s">
        <v>268</v>
      </c>
    </row>
    <row r="21" spans="1:6" x14ac:dyDescent="0.35">
      <c r="A21" s="35" t="s">
        <v>90</v>
      </c>
      <c r="B21" s="35" t="s">
        <v>91</v>
      </c>
      <c r="C21" s="35" t="s">
        <v>245</v>
      </c>
      <c r="D21" s="35" t="s">
        <v>279</v>
      </c>
      <c r="E21" s="36">
        <v>45945</v>
      </c>
      <c r="F21" s="35" t="s">
        <v>261</v>
      </c>
    </row>
    <row r="22" spans="1:6" x14ac:dyDescent="0.35">
      <c r="A22" s="35" t="s">
        <v>46</v>
      </c>
      <c r="B22" s="35" t="s">
        <v>47</v>
      </c>
      <c r="C22" s="35" t="s">
        <v>277</v>
      </c>
      <c r="D22" s="35" t="s">
        <v>278</v>
      </c>
      <c r="E22" s="36">
        <v>45884</v>
      </c>
      <c r="F22" s="35" t="s">
        <v>261</v>
      </c>
    </row>
    <row r="23" spans="1:6" x14ac:dyDescent="0.35">
      <c r="A23" s="35" t="s">
        <v>10</v>
      </c>
      <c r="B23" s="35" t="s">
        <v>11</v>
      </c>
      <c r="C23" s="35" t="s">
        <v>244</v>
      </c>
      <c r="D23" s="35" t="s">
        <v>275</v>
      </c>
      <c r="E23" s="36">
        <v>45944</v>
      </c>
      <c r="F23" s="35" t="s">
        <v>268</v>
      </c>
    </row>
    <row r="24" spans="1:6" x14ac:dyDescent="0.35">
      <c r="A24" s="35" t="s">
        <v>43</v>
      </c>
      <c r="B24" s="35" t="s">
        <v>44</v>
      </c>
      <c r="C24" s="35" t="s">
        <v>241</v>
      </c>
      <c r="D24" s="35" t="s">
        <v>280</v>
      </c>
      <c r="E24" s="36">
        <v>45546</v>
      </c>
      <c r="F24" s="35" t="s">
        <v>261</v>
      </c>
    </row>
    <row r="25" spans="1:6" x14ac:dyDescent="0.35">
      <c r="A25" s="35" t="s">
        <v>105</v>
      </c>
      <c r="B25" s="35" t="s">
        <v>106</v>
      </c>
      <c r="C25" s="35" t="s">
        <v>263</v>
      </c>
      <c r="D25" s="35" t="s">
        <v>264</v>
      </c>
      <c r="E25" s="36">
        <v>45714</v>
      </c>
      <c r="F25" s="35" t="s">
        <v>261</v>
      </c>
    </row>
    <row r="26" spans="1:6" x14ac:dyDescent="0.35">
      <c r="A26" s="35" t="s">
        <v>20</v>
      </c>
      <c r="B26" s="35" t="s">
        <v>21</v>
      </c>
      <c r="C26" s="35" t="s">
        <v>266</v>
      </c>
      <c r="D26" s="35" t="s">
        <v>267</v>
      </c>
      <c r="E26" s="36">
        <v>45547</v>
      </c>
      <c r="F26" s="35" t="s">
        <v>268</v>
      </c>
    </row>
    <row r="27" spans="1:6" x14ac:dyDescent="0.35">
      <c r="A27" s="35" t="s">
        <v>119</v>
      </c>
      <c r="B27" s="35" t="s">
        <v>120</v>
      </c>
      <c r="C27" s="35" t="s">
        <v>242</v>
      </c>
      <c r="D27" s="35" t="s">
        <v>274</v>
      </c>
      <c r="E27" s="36">
        <v>46003</v>
      </c>
      <c r="F27" s="35" t="s">
        <v>261</v>
      </c>
    </row>
    <row r="28" spans="1:6" x14ac:dyDescent="0.35">
      <c r="A28" s="35" t="s">
        <v>29</v>
      </c>
      <c r="B28" s="35" t="s">
        <v>30</v>
      </c>
      <c r="C28" s="35" t="s">
        <v>249</v>
      </c>
      <c r="D28" s="35" t="s">
        <v>281</v>
      </c>
      <c r="E28" s="36">
        <v>46020</v>
      </c>
      <c r="F28" s="35" t="s">
        <v>268</v>
      </c>
    </row>
    <row r="29" spans="1:6" x14ac:dyDescent="0.35">
      <c r="A29" s="35" t="s">
        <v>61</v>
      </c>
      <c r="B29" s="35" t="s">
        <v>62</v>
      </c>
      <c r="C29" s="35" t="s">
        <v>251</v>
      </c>
      <c r="D29" s="35" t="s">
        <v>269</v>
      </c>
      <c r="E29" s="36">
        <v>45944</v>
      </c>
      <c r="F29" s="35" t="s">
        <v>268</v>
      </c>
    </row>
    <row r="30" spans="1:6" x14ac:dyDescent="0.35">
      <c r="A30" s="35" t="s">
        <v>79</v>
      </c>
      <c r="B30" s="35" t="s">
        <v>80</v>
      </c>
      <c r="C30" s="35" t="s">
        <v>251</v>
      </c>
      <c r="D30" s="35" t="s">
        <v>269</v>
      </c>
      <c r="E30" s="36">
        <v>45367</v>
      </c>
      <c r="F30" s="35" t="s">
        <v>268</v>
      </c>
    </row>
    <row r="31" spans="1:6" x14ac:dyDescent="0.35">
      <c r="A31" s="35" t="s">
        <v>77</v>
      </c>
      <c r="B31" s="35" t="s">
        <v>78</v>
      </c>
      <c r="C31" s="35" t="s">
        <v>263</v>
      </c>
      <c r="D31" s="35" t="s">
        <v>264</v>
      </c>
      <c r="E31" s="36">
        <v>45540</v>
      </c>
      <c r="F31" s="35" t="s">
        <v>261</v>
      </c>
    </row>
    <row r="32" spans="1:6" x14ac:dyDescent="0.35">
      <c r="A32" s="35" t="s">
        <v>93</v>
      </c>
      <c r="B32" s="35" t="s">
        <v>94</v>
      </c>
      <c r="C32" s="35" t="s">
        <v>242</v>
      </c>
      <c r="D32" s="35" t="s">
        <v>274</v>
      </c>
      <c r="E32" s="36">
        <v>45685</v>
      </c>
      <c r="F32" s="35" t="s">
        <v>261</v>
      </c>
    </row>
    <row r="33" spans="1:6" x14ac:dyDescent="0.35">
      <c r="A33" s="35" t="s">
        <v>97</v>
      </c>
      <c r="B33" s="35" t="s">
        <v>98</v>
      </c>
      <c r="C33" s="35" t="s">
        <v>263</v>
      </c>
      <c r="D33" s="35" t="s">
        <v>264</v>
      </c>
      <c r="E33" s="36">
        <v>46020</v>
      </c>
      <c r="F33" s="35" t="s">
        <v>261</v>
      </c>
    </row>
    <row r="34" spans="1:6" x14ac:dyDescent="0.35">
      <c r="A34" s="35" t="s">
        <v>18</v>
      </c>
      <c r="B34" s="35" t="s">
        <v>19</v>
      </c>
      <c r="C34" s="35" t="s">
        <v>266</v>
      </c>
      <c r="D34" s="35" t="s">
        <v>267</v>
      </c>
      <c r="E34" s="36">
        <v>45477</v>
      </c>
      <c r="F34" s="35" t="s">
        <v>268</v>
      </c>
    </row>
    <row r="35" spans="1:6" x14ac:dyDescent="0.35">
      <c r="A35" s="35" t="s">
        <v>71</v>
      </c>
      <c r="B35" s="35" t="s">
        <v>72</v>
      </c>
      <c r="C35" s="35" t="s">
        <v>241</v>
      </c>
      <c r="D35" s="35" t="s">
        <v>280</v>
      </c>
      <c r="E35" s="36">
        <v>45471</v>
      </c>
      <c r="F35" s="35" t="s">
        <v>261</v>
      </c>
    </row>
    <row r="36" spans="1:6" x14ac:dyDescent="0.35">
      <c r="A36" s="35" t="s">
        <v>75</v>
      </c>
      <c r="B36" s="35" t="s">
        <v>76</v>
      </c>
      <c r="C36" s="35" t="s">
        <v>241</v>
      </c>
      <c r="D36" s="35" t="s">
        <v>280</v>
      </c>
      <c r="E36" s="36">
        <v>45486</v>
      </c>
      <c r="F36" s="35" t="s">
        <v>261</v>
      </c>
    </row>
    <row r="37" spans="1:6" x14ac:dyDescent="0.35">
      <c r="A37" s="35" t="s">
        <v>41</v>
      </c>
      <c r="B37" s="35" t="s">
        <v>42</v>
      </c>
      <c r="C37" s="35" t="s">
        <v>263</v>
      </c>
      <c r="D37" s="35" t="s">
        <v>264</v>
      </c>
      <c r="E37" s="36">
        <v>45451</v>
      </c>
      <c r="F37" s="35" t="s">
        <v>261</v>
      </c>
    </row>
    <row r="38" spans="1:6" x14ac:dyDescent="0.35">
      <c r="A38" s="35" t="s">
        <v>117</v>
      </c>
      <c r="B38" s="35" t="s">
        <v>118</v>
      </c>
      <c r="C38" s="35" t="s">
        <v>242</v>
      </c>
      <c r="D38" s="35" t="s">
        <v>274</v>
      </c>
      <c r="E38" s="36">
        <v>45581</v>
      </c>
      <c r="F38" s="35" t="s">
        <v>261</v>
      </c>
    </row>
    <row r="39" spans="1:6" x14ac:dyDescent="0.35">
      <c r="A39" s="35" t="s">
        <v>24</v>
      </c>
      <c r="B39" s="35" t="s">
        <v>25</v>
      </c>
      <c r="C39" s="35" t="s">
        <v>252</v>
      </c>
      <c r="D39" s="35" t="s">
        <v>276</v>
      </c>
      <c r="E39" s="36">
        <v>45654</v>
      </c>
      <c r="F39" s="35" t="s">
        <v>261</v>
      </c>
    </row>
    <row r="40" spans="1:6" x14ac:dyDescent="0.35">
      <c r="A40" s="35" t="s">
        <v>134</v>
      </c>
      <c r="B40" s="35" t="s">
        <v>135</v>
      </c>
      <c r="C40" s="35" t="s">
        <v>270</v>
      </c>
      <c r="D40" s="35" t="s">
        <v>271</v>
      </c>
      <c r="E40" s="36">
        <v>46168</v>
      </c>
      <c r="F40" s="35" t="s">
        <v>261</v>
      </c>
    </row>
    <row r="41" spans="1:6" x14ac:dyDescent="0.35">
      <c r="A41" s="35" t="s">
        <v>103</v>
      </c>
      <c r="B41" s="35" t="s">
        <v>104</v>
      </c>
      <c r="C41" s="35" t="s">
        <v>251</v>
      </c>
      <c r="D41" s="35" t="s">
        <v>269</v>
      </c>
      <c r="E41" s="36">
        <v>45925</v>
      </c>
      <c r="F41" s="35" t="s">
        <v>268</v>
      </c>
    </row>
    <row r="42" spans="1:6" x14ac:dyDescent="0.35">
      <c r="A42" s="35" t="s">
        <v>63</v>
      </c>
      <c r="B42" s="35" t="s">
        <v>64</v>
      </c>
      <c r="C42" s="35" t="s">
        <v>263</v>
      </c>
      <c r="D42" s="35" t="s">
        <v>264</v>
      </c>
      <c r="E42" s="36">
        <v>46010</v>
      </c>
      <c r="F42" s="35" t="s">
        <v>261</v>
      </c>
    </row>
    <row r="43" spans="1:6" x14ac:dyDescent="0.35">
      <c r="A43" s="35" t="s">
        <v>50</v>
      </c>
      <c r="B43" s="35" t="s">
        <v>51</v>
      </c>
      <c r="C43" s="35" t="s">
        <v>248</v>
      </c>
      <c r="D43" s="35" t="s">
        <v>260</v>
      </c>
      <c r="E43" s="36">
        <v>45485</v>
      </c>
      <c r="F43" s="35" t="s">
        <v>261</v>
      </c>
    </row>
    <row r="44" spans="1:6" x14ac:dyDescent="0.35">
      <c r="A44" s="35" t="s">
        <v>101</v>
      </c>
      <c r="B44" s="35" t="s">
        <v>102</v>
      </c>
      <c r="C44" s="35" t="s">
        <v>270</v>
      </c>
      <c r="D44" s="35" t="s">
        <v>271</v>
      </c>
      <c r="E44" s="36">
        <v>45882</v>
      </c>
      <c r="F44" s="35" t="s">
        <v>261</v>
      </c>
    </row>
    <row r="45" spans="1:6" x14ac:dyDescent="0.35">
      <c r="A45" s="35" t="s">
        <v>125</v>
      </c>
      <c r="B45" s="35" t="s">
        <v>126</v>
      </c>
      <c r="C45" s="35" t="s">
        <v>246</v>
      </c>
      <c r="D45" s="35" t="s">
        <v>282</v>
      </c>
      <c r="E45" s="36">
        <v>46013</v>
      </c>
      <c r="F45" s="35" t="s">
        <v>261</v>
      </c>
    </row>
    <row r="46" spans="1:6" x14ac:dyDescent="0.35">
      <c r="A46" s="35" t="s">
        <v>123</v>
      </c>
      <c r="B46" s="35" t="s">
        <v>124</v>
      </c>
      <c r="C46" s="35" t="s">
        <v>266</v>
      </c>
      <c r="D46" s="35" t="s">
        <v>267</v>
      </c>
      <c r="E46" s="36">
        <v>46022</v>
      </c>
      <c r="F46" s="35" t="s">
        <v>268</v>
      </c>
    </row>
    <row r="47" spans="1:6" x14ac:dyDescent="0.35">
      <c r="A47" s="35" t="s">
        <v>32</v>
      </c>
      <c r="B47" s="35" t="s">
        <v>33</v>
      </c>
      <c r="C47" s="35" t="s">
        <v>243</v>
      </c>
      <c r="D47" s="35" t="s">
        <v>283</v>
      </c>
      <c r="E47" s="36">
        <v>46030</v>
      </c>
      <c r="F47" s="35" t="s">
        <v>268</v>
      </c>
    </row>
    <row r="48" spans="1:6" x14ac:dyDescent="0.35">
      <c r="A48" s="35" t="s">
        <v>109</v>
      </c>
      <c r="B48" s="35" t="s">
        <v>110</v>
      </c>
      <c r="C48" s="35" t="s">
        <v>241</v>
      </c>
      <c r="D48" s="35" t="s">
        <v>280</v>
      </c>
      <c r="E48" s="36">
        <v>46014</v>
      </c>
      <c r="F48" s="35" t="s">
        <v>261</v>
      </c>
    </row>
    <row r="49" spans="1:6" x14ac:dyDescent="0.35">
      <c r="A49" s="35" t="s">
        <v>107</v>
      </c>
      <c r="B49" s="35" t="s">
        <v>108</v>
      </c>
      <c r="C49" s="35" t="s">
        <v>277</v>
      </c>
      <c r="D49" s="35" t="s">
        <v>278</v>
      </c>
      <c r="E49" s="36">
        <v>46021</v>
      </c>
      <c r="F49" s="35" t="s">
        <v>261</v>
      </c>
    </row>
    <row r="50" spans="1:6" x14ac:dyDescent="0.35">
      <c r="A50" s="35" t="s">
        <v>132</v>
      </c>
      <c r="B50" s="35" t="s">
        <v>133</v>
      </c>
      <c r="C50" s="35" t="s">
        <v>246</v>
      </c>
      <c r="D50" s="35" t="s">
        <v>282</v>
      </c>
      <c r="E50" s="36">
        <v>46157</v>
      </c>
      <c r="F50" s="35" t="s">
        <v>261</v>
      </c>
    </row>
    <row r="51" spans="1:6" x14ac:dyDescent="0.35">
      <c r="A51" s="35" t="s">
        <v>55</v>
      </c>
      <c r="B51" s="35" t="s">
        <v>56</v>
      </c>
      <c r="C51" s="35" t="s">
        <v>277</v>
      </c>
      <c r="D51" s="35" t="s">
        <v>278</v>
      </c>
      <c r="E51" s="36">
        <v>46042</v>
      </c>
      <c r="F51" s="35" t="s">
        <v>261</v>
      </c>
    </row>
    <row r="52" spans="1:6" x14ac:dyDescent="0.35">
      <c r="A52" s="35" t="s">
        <v>73</v>
      </c>
      <c r="B52" s="35" t="s">
        <v>74</v>
      </c>
      <c r="C52" s="35" t="s">
        <v>250</v>
      </c>
      <c r="D52" s="35" t="s">
        <v>265</v>
      </c>
      <c r="E52" s="36">
        <v>46198</v>
      </c>
      <c r="F52" s="35" t="s">
        <v>261</v>
      </c>
    </row>
    <row r="53" spans="1:6" x14ac:dyDescent="0.35">
      <c r="A53" s="35" t="s">
        <v>85</v>
      </c>
      <c r="B53" s="35" t="s">
        <v>86</v>
      </c>
      <c r="C53" s="35" t="s">
        <v>247</v>
      </c>
      <c r="D53" s="35" t="s">
        <v>284</v>
      </c>
      <c r="E53" s="36">
        <v>46052</v>
      </c>
      <c r="F53" s="35" t="s">
        <v>268</v>
      </c>
    </row>
    <row r="54" spans="1:6" x14ac:dyDescent="0.35">
      <c r="A54" s="35" t="s">
        <v>111</v>
      </c>
      <c r="B54" s="35" t="s">
        <v>112</v>
      </c>
      <c r="C54" s="35" t="s">
        <v>251</v>
      </c>
      <c r="D54" s="35" t="s">
        <v>269</v>
      </c>
      <c r="E54" s="36">
        <v>46020</v>
      </c>
      <c r="F54" s="35" t="s">
        <v>268</v>
      </c>
    </row>
    <row r="55" spans="1:6" x14ac:dyDescent="0.35">
      <c r="A55" s="35" t="s">
        <v>130</v>
      </c>
      <c r="B55" s="35" t="s">
        <v>131</v>
      </c>
      <c r="C55" s="35" t="s">
        <v>251</v>
      </c>
      <c r="D55" s="35" t="s">
        <v>269</v>
      </c>
      <c r="E55" s="36">
        <v>46157</v>
      </c>
      <c r="F55" s="35" t="s">
        <v>268</v>
      </c>
    </row>
    <row r="56" spans="1:6" x14ac:dyDescent="0.35">
      <c r="A56" s="35" t="s">
        <v>253</v>
      </c>
      <c r="B56" s="35" t="s">
        <v>254</v>
      </c>
      <c r="C56" s="35" t="s">
        <v>251</v>
      </c>
      <c r="D56" s="35" t="s">
        <v>269</v>
      </c>
      <c r="E56" s="36">
        <v>46261</v>
      </c>
      <c r="F56" s="35" t="s">
        <v>285</v>
      </c>
    </row>
    <row r="57" spans="1:6" x14ac:dyDescent="0.35">
      <c r="A57" s="35" t="s">
        <v>138</v>
      </c>
      <c r="B57" s="35" t="s">
        <v>139</v>
      </c>
      <c r="C57" s="35" t="s">
        <v>277</v>
      </c>
      <c r="D57" s="35" t="s">
        <v>278</v>
      </c>
      <c r="E57" s="36">
        <v>46232</v>
      </c>
      <c r="F57" s="35" t="s">
        <v>285</v>
      </c>
    </row>
    <row r="58" spans="1:6" x14ac:dyDescent="0.35">
      <c r="A58" s="35" t="s">
        <v>140</v>
      </c>
      <c r="B58" s="35" t="s">
        <v>141</v>
      </c>
      <c r="C58" s="35" t="s">
        <v>286</v>
      </c>
      <c r="D58" s="35" t="s">
        <v>287</v>
      </c>
      <c r="E58" s="36">
        <v>46253</v>
      </c>
      <c r="F58" s="35" t="s">
        <v>285</v>
      </c>
    </row>
    <row r="59" spans="1:6" x14ac:dyDescent="0.35">
      <c r="A59" s="35" t="s">
        <v>48</v>
      </c>
      <c r="B59" s="35" t="s">
        <v>49</v>
      </c>
      <c r="C59" s="35" t="s">
        <v>263</v>
      </c>
      <c r="D59" s="35" t="s">
        <v>264</v>
      </c>
      <c r="E59" s="36">
        <v>46220</v>
      </c>
      <c r="F59" s="35" t="s">
        <v>261</v>
      </c>
    </row>
    <row r="60" spans="1:6" x14ac:dyDescent="0.35">
      <c r="A60" s="35" t="s">
        <v>143</v>
      </c>
      <c r="B60" s="35" t="s">
        <v>144</v>
      </c>
      <c r="C60" s="35" t="s">
        <v>263</v>
      </c>
      <c r="D60" s="35" t="s">
        <v>264</v>
      </c>
      <c r="E60" s="36">
        <v>46247</v>
      </c>
      <c r="F60" s="35" t="s">
        <v>285</v>
      </c>
    </row>
    <row r="61" spans="1:6" x14ac:dyDescent="0.35">
      <c r="A61" s="35" t="s">
        <v>121</v>
      </c>
      <c r="B61" s="35" t="s">
        <v>122</v>
      </c>
      <c r="C61" s="35" t="s">
        <v>241</v>
      </c>
      <c r="D61" s="35" t="s">
        <v>280</v>
      </c>
      <c r="E61" s="36">
        <v>46168</v>
      </c>
      <c r="F61" s="35" t="s">
        <v>261</v>
      </c>
    </row>
    <row r="62" spans="1:6" x14ac:dyDescent="0.35">
      <c r="A62" s="35" t="s">
        <v>115</v>
      </c>
      <c r="B62" s="35" t="s">
        <v>116</v>
      </c>
      <c r="C62" s="35" t="s">
        <v>241</v>
      </c>
      <c r="D62" s="35" t="s">
        <v>280</v>
      </c>
      <c r="E62" s="36">
        <v>46014</v>
      </c>
      <c r="F62" s="35" t="s">
        <v>261</v>
      </c>
    </row>
    <row r="63" spans="1:6" x14ac:dyDescent="0.35">
      <c r="A63" s="35" t="s">
        <v>162</v>
      </c>
      <c r="B63" s="35" t="s">
        <v>163</v>
      </c>
      <c r="C63" s="35" t="s">
        <v>245</v>
      </c>
      <c r="D63" s="35" t="s">
        <v>279</v>
      </c>
      <c r="E63" s="36">
        <v>46253</v>
      </c>
      <c r="F63" s="35" t="s">
        <v>285</v>
      </c>
    </row>
    <row r="64" spans="1:6" x14ac:dyDescent="0.35">
      <c r="A64" s="35" t="s">
        <v>35</v>
      </c>
      <c r="B64" s="35" t="s">
        <v>36</v>
      </c>
      <c r="C64" s="35" t="s">
        <v>238</v>
      </c>
      <c r="D64" s="35" t="s">
        <v>288</v>
      </c>
      <c r="E64" s="36">
        <v>46006</v>
      </c>
      <c r="F64" s="35" t="s">
        <v>261</v>
      </c>
    </row>
    <row r="65" spans="1:6" x14ac:dyDescent="0.35">
      <c r="A65" s="35" t="s">
        <v>289</v>
      </c>
      <c r="B65" s="35" t="s">
        <v>290</v>
      </c>
      <c r="C65" s="35" t="s">
        <v>245</v>
      </c>
      <c r="D65" s="35" t="s">
        <v>279</v>
      </c>
      <c r="E65" s="36">
        <v>46268</v>
      </c>
      <c r="F65" s="35" t="s">
        <v>285</v>
      </c>
    </row>
    <row r="66" spans="1:6" x14ac:dyDescent="0.35">
      <c r="A66" s="35" t="s">
        <v>164</v>
      </c>
      <c r="B66" s="35" t="s">
        <v>165</v>
      </c>
      <c r="C66" s="35" t="s">
        <v>247</v>
      </c>
      <c r="D66" s="35" t="s">
        <v>284</v>
      </c>
      <c r="E66" s="36">
        <v>46253</v>
      </c>
      <c r="F66" s="35" t="s">
        <v>285</v>
      </c>
    </row>
    <row r="67" spans="1:6" x14ac:dyDescent="0.35">
      <c r="A67" s="35" t="s">
        <v>95</v>
      </c>
      <c r="B67" s="35" t="s">
        <v>96</v>
      </c>
      <c r="C67" s="35" t="s">
        <v>241</v>
      </c>
      <c r="D67" s="35" t="s">
        <v>280</v>
      </c>
      <c r="E67" s="36">
        <v>46015</v>
      </c>
      <c r="F67" s="35" t="s">
        <v>261</v>
      </c>
    </row>
    <row r="68" spans="1:6" x14ac:dyDescent="0.35">
      <c r="A68" s="35" t="s">
        <v>22</v>
      </c>
      <c r="B68" s="35" t="s">
        <v>23</v>
      </c>
      <c r="C68" s="35" t="s">
        <v>252</v>
      </c>
      <c r="D68" s="35" t="s">
        <v>276</v>
      </c>
      <c r="E68" s="36">
        <v>45797</v>
      </c>
      <c r="F68" s="35" t="s">
        <v>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Store Performance</vt:lpstr>
      <vt:lpstr>OOS</vt:lpstr>
      <vt:lpstr>Inventory</vt:lpstr>
      <vt:lpstr>MAT Exc Beanspot</vt:lpstr>
      <vt:lpstr>MAT All</vt:lpstr>
      <vt:lpstr>List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 Aliyyah</dc:creator>
  <cp:lastModifiedBy>Rona Aliyyah</cp:lastModifiedBy>
  <dcterms:created xsi:type="dcterms:W3CDTF">2026-08-20T12:29:06Z</dcterms:created>
  <dcterms:modified xsi:type="dcterms:W3CDTF">2026-09-09T09:55:45Z</dcterms:modified>
</cp:coreProperties>
</file>